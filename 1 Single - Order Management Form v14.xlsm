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ain Data\Apps Cargo\final\"/>
    </mc:Choice>
  </mc:AlternateContent>
  <xr:revisionPtr revIDLastSave="0" documentId="13_ncr:1_{9AF6341F-8AB5-44C1-AB1D-3072E9AB1388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Home" sheetId="8" state="hidden" r:id="rId1"/>
    <sheet name="LTL ORDER MGMT FORM" sheetId="1" r:id="rId2"/>
    <sheet name="SUBMITTED ORDERS" sheetId="5" r:id="rId3"/>
    <sheet name="PARKED ORDERS" sheetId="6" r:id="rId4"/>
    <sheet name="MISC." sheetId="7" r:id="rId5"/>
    <sheet name="Lists" sheetId="2" state="hidden" r:id="rId6"/>
    <sheet name="Config" sheetId="3" state="hidden" r:id="rId7"/>
    <sheet name="Database" sheetId="4" state="hidden" r:id="rId8"/>
  </sheets>
  <definedNames>
    <definedName name="_xleta.TODA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5" i="1" l="1"/>
  <c r="J44" i="1"/>
  <c r="C1048513" i="1" s="1"/>
  <c r="C45" i="1"/>
  <c r="C1048493" i="1" s="1"/>
  <c r="C44" i="1"/>
  <c r="C1048492" i="1" s="1"/>
  <c r="C1048514" i="1"/>
  <c r="C1048573" i="1"/>
  <c r="C1048572" i="1"/>
  <c r="C1048571" i="1"/>
  <c r="C1048570" i="1"/>
  <c r="C1048569" i="1"/>
  <c r="C1048568" i="1"/>
  <c r="C1048567" i="1"/>
  <c r="C1048566" i="1"/>
  <c r="C1048565" i="1"/>
  <c r="C1048564" i="1"/>
  <c r="C1048563" i="1"/>
  <c r="C1048562" i="1"/>
  <c r="C1048561" i="1"/>
  <c r="C1048560" i="1"/>
  <c r="C1048559" i="1"/>
  <c r="C1048558" i="1"/>
  <c r="C1048557" i="1"/>
  <c r="C1048556" i="1"/>
  <c r="C1048555" i="1"/>
  <c r="C1048554" i="1"/>
  <c r="C1048553" i="1"/>
  <c r="C1048552" i="1"/>
  <c r="C1048551" i="1"/>
  <c r="C1048550" i="1"/>
  <c r="C1048549" i="1"/>
  <c r="C1048548" i="1"/>
  <c r="C1048547" i="1"/>
  <c r="C1048546" i="1"/>
  <c r="C1048545" i="1"/>
  <c r="C1048544" i="1"/>
  <c r="C1048543" i="1"/>
  <c r="C1048542" i="1"/>
  <c r="C1048541" i="1"/>
  <c r="C1048540" i="1"/>
  <c r="C1048539" i="1"/>
  <c r="C1048538" i="1"/>
  <c r="C1048537" i="1"/>
  <c r="C1048536" i="1"/>
  <c r="C1048535" i="1"/>
  <c r="C1048532" i="1"/>
  <c r="C1048531" i="1"/>
  <c r="C1048530" i="1"/>
  <c r="C1048534" i="1"/>
  <c r="C1048533" i="1"/>
  <c r="C1048529" i="1"/>
  <c r="C1048528" i="1"/>
  <c r="C1048527" i="1"/>
  <c r="C1048526" i="1"/>
  <c r="C1048525" i="1"/>
  <c r="C1048524" i="1"/>
  <c r="C1048523" i="1"/>
  <c r="C1048522" i="1"/>
  <c r="C1048521" i="1"/>
  <c r="C1048520" i="1"/>
  <c r="C1048519" i="1"/>
  <c r="C1048518" i="1"/>
  <c r="C1048517" i="1"/>
  <c r="C1048516" i="1"/>
  <c r="C1048515" i="1"/>
  <c r="C1048512" i="1"/>
  <c r="C1048511" i="1"/>
  <c r="C1048510" i="1"/>
  <c r="C1048509" i="1"/>
  <c r="C1048508" i="1"/>
  <c r="C1048507" i="1"/>
  <c r="C1048506" i="1"/>
  <c r="C1048505" i="1"/>
  <c r="C1048504" i="1"/>
  <c r="C1048503" i="1"/>
  <c r="C1048502" i="1"/>
  <c r="C1048501" i="1"/>
  <c r="C1048500" i="1"/>
  <c r="C1048499" i="1"/>
  <c r="C1048498" i="1"/>
  <c r="C1048497" i="1"/>
  <c r="C1048496" i="1"/>
  <c r="C1048495" i="1"/>
  <c r="C1048494" i="1"/>
  <c r="C1048491" i="1"/>
  <c r="C1048490" i="1"/>
  <c r="C1048489" i="1"/>
  <c r="C1048488" i="1"/>
  <c r="C1048487" i="1"/>
  <c r="C1048486" i="1"/>
  <c r="C1048485" i="1"/>
  <c r="C1048484" i="1"/>
  <c r="C1048483" i="1"/>
  <c r="C1048482" i="1"/>
  <c r="C1048481" i="1"/>
  <c r="C1048480" i="1"/>
  <c r="C1048479" i="1"/>
  <c r="C1048478" i="1"/>
  <c r="C1048477" i="1"/>
  <c r="C1048476" i="1"/>
  <c r="C1048475" i="1"/>
  <c r="C1048474" i="1"/>
  <c r="C1048473" i="1"/>
  <c r="C1048472" i="1"/>
  <c r="C1048471" i="1"/>
  <c r="C1048470" i="1"/>
  <c r="C1048469" i="1"/>
  <c r="C1048468" i="1"/>
  <c r="C1048467" i="1"/>
  <c r="C1048466" i="1"/>
  <c r="C1048465" i="1"/>
  <c r="C1048464" i="1"/>
  <c r="C1048463" i="1"/>
  <c r="C1048462" i="1"/>
  <c r="C1048461" i="1"/>
  <c r="C1048460" i="1"/>
  <c r="C1048459" i="1"/>
  <c r="C1048458" i="1"/>
  <c r="C1048457" i="1"/>
  <c r="C1048456" i="1"/>
  <c r="C1048455" i="1"/>
  <c r="C1048454" i="1"/>
  <c r="C1048453" i="1"/>
  <c r="C1048452" i="1"/>
  <c r="C1048451" i="1"/>
  <c r="C1048450" i="1"/>
  <c r="C1048449" i="1"/>
  <c r="C1048448" i="1"/>
  <c r="C1048447" i="1"/>
  <c r="C1048446" i="1"/>
  <c r="C1048445" i="1"/>
  <c r="C1048444" i="1"/>
  <c r="C1048443" i="1"/>
  <c r="C1048442" i="1"/>
  <c r="F70" i="3" l="1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G34" i="3"/>
  <c r="G10" i="3"/>
  <c r="G29" i="3"/>
  <c r="G28" i="3"/>
  <c r="G40" i="3"/>
  <c r="G32" i="3"/>
  <c r="G47" i="3"/>
  <c r="G19" i="3"/>
  <c r="G70" i="3"/>
  <c r="G63" i="3"/>
  <c r="G50" i="3"/>
  <c r="G27" i="3"/>
  <c r="G69" i="3"/>
  <c r="G37" i="3"/>
  <c r="G33" i="3"/>
  <c r="G2" i="3"/>
  <c r="G22" i="3"/>
  <c r="G11" i="3"/>
  <c r="G25" i="3"/>
  <c r="G59" i="3"/>
  <c r="G68" i="3"/>
  <c r="G48" i="3"/>
  <c r="G66" i="3"/>
  <c r="G53" i="3"/>
  <c r="G38" i="3"/>
  <c r="G64" i="3"/>
  <c r="G43" i="3"/>
  <c r="G44" i="3"/>
  <c r="G61" i="3"/>
  <c r="G56" i="3"/>
  <c r="G49" i="3"/>
  <c r="G21" i="3"/>
  <c r="G18" i="3"/>
  <c r="G31" i="3"/>
  <c r="G54" i="3"/>
  <c r="G55" i="3"/>
  <c r="G36" i="3"/>
  <c r="G42" i="3"/>
  <c r="G20" i="3"/>
  <c r="G6" i="3"/>
  <c r="G58" i="3"/>
  <c r="G67" i="3"/>
  <c r="G57" i="3"/>
  <c r="G17" i="3"/>
  <c r="G45" i="3"/>
  <c r="G30" i="3"/>
  <c r="G62" i="3"/>
  <c r="G60" i="3"/>
  <c r="G7" i="3"/>
  <c r="G24" i="3"/>
  <c r="G46" i="3"/>
  <c r="G5" i="3"/>
  <c r="G8" i="3"/>
  <c r="G9" i="3"/>
  <c r="G4" i="3"/>
  <c r="G23" i="3"/>
  <c r="G41" i="3"/>
  <c r="G12" i="3"/>
  <c r="G39" i="3"/>
  <c r="G26" i="3"/>
  <c r="G16" i="3"/>
  <c r="G35" i="3"/>
  <c r="G15" i="3"/>
  <c r="G3" i="3"/>
  <c r="G14" i="3"/>
  <c r="G13" i="3"/>
  <c r="H22" i="3" l="1"/>
  <c r="H70" i="3"/>
  <c r="H27" i="3"/>
  <c r="H58" i="3"/>
  <c r="H15" i="3"/>
  <c r="H10" i="3"/>
  <c r="H23" i="3"/>
  <c r="H2" i="3"/>
  <c r="H50" i="3"/>
  <c r="H42" i="3"/>
  <c r="H66" i="3"/>
  <c r="H11" i="3"/>
  <c r="H14" i="3"/>
  <c r="H62" i="3"/>
  <c r="H18" i="3"/>
  <c r="H67" i="3"/>
  <c r="H46" i="3"/>
  <c r="H26" i="3"/>
  <c r="H3" i="3"/>
  <c r="H30" i="3"/>
  <c r="H7" i="3"/>
  <c r="H31" i="3"/>
  <c r="H68" i="3"/>
  <c r="H34" i="3"/>
  <c r="H38" i="3"/>
  <c r="H6" i="3"/>
  <c r="H54" i="3"/>
  <c r="H19" i="3"/>
  <c r="H69" i="3"/>
  <c r="H43" i="3"/>
  <c r="H59" i="3"/>
  <c r="H4" i="3"/>
  <c r="H12" i="3"/>
  <c r="H24" i="3"/>
  <c r="H32" i="3"/>
  <c r="H40" i="3"/>
  <c r="H48" i="3"/>
  <c r="H56" i="3"/>
  <c r="H60" i="3"/>
  <c r="H64" i="3"/>
  <c r="H41" i="3"/>
  <c r="H35" i="3"/>
  <c r="H47" i="3"/>
  <c r="H55" i="3"/>
  <c r="H8" i="3"/>
  <c r="H16" i="3"/>
  <c r="H28" i="3"/>
  <c r="H36" i="3"/>
  <c r="H44" i="3"/>
  <c r="H5" i="3"/>
  <c r="H13" i="3"/>
  <c r="H17" i="3"/>
  <c r="H21" i="3"/>
  <c r="H25" i="3"/>
  <c r="H29" i="3"/>
  <c r="H33" i="3"/>
  <c r="H37" i="3"/>
  <c r="H45" i="3"/>
  <c r="H49" i="3"/>
  <c r="H53" i="3"/>
  <c r="H57" i="3"/>
  <c r="H61" i="3"/>
  <c r="H39" i="3"/>
  <c r="H63" i="3"/>
  <c r="H20" i="3"/>
  <c r="H9" i="3"/>
  <c r="G51" i="3"/>
  <c r="G65" i="3"/>
  <c r="G52" i="3"/>
  <c r="H51" i="3" l="1"/>
  <c r="H65" i="3"/>
  <c r="H5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Rima Jhavery</author>
    <author>Akhil Kamboj</author>
  </authors>
  <commentList>
    <comment ref="F4" authorId="0" shapeId="0" xr:uid="{5F9F180F-CD10-4BE1-A211-3A986DCB0796}">
      <text>
        <r>
          <rPr>
            <b/>
            <sz val="9"/>
            <color indexed="81"/>
            <rFont val="Tahoma"/>
            <family val="2"/>
          </rPr>
          <t xml:space="preserve">Rima Jhavery:
</t>
        </r>
        <r>
          <rPr>
            <sz val="9"/>
            <color indexed="81"/>
            <rFont val="Tahoma"/>
            <family val="2"/>
          </rPr>
          <t xml:space="preserve">THE OPTIONS NEED TO BE:
SINGLE
MULTIPLE
DE-STUFF
EXTRA-STOP
* DEFAULT TO SINGLE
</t>
        </r>
      </text>
    </comment>
    <comment ref="I4" authorId="0" shapeId="0" xr:uid="{DBBF25B7-913C-4E14-A642-0B2D5DBB167D}">
      <text>
        <r>
          <rPr>
            <b/>
            <sz val="9"/>
            <color indexed="81"/>
            <rFont val="Tahoma"/>
            <family val="2"/>
          </rPr>
          <t xml:space="preserve">Rima Jhavery:
</t>
        </r>
        <r>
          <rPr>
            <sz val="9"/>
            <color indexed="81"/>
            <rFont val="Tahoma"/>
            <family val="2"/>
          </rPr>
          <t xml:space="preserve">THE OPTIONS NEED TO COME FROM TM
</t>
        </r>
      </text>
    </comment>
    <comment ref="C7" authorId="0" shapeId="0" xr:uid="{06282BD9-CAC2-4B32-82C3-4A389F5DBFF2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THE PARTY THAT GETS SELECTED, NEEDS TO AUTO-POPULATE UNDER BILL TO; EXCEPT OTHER</t>
        </r>
      </text>
    </comment>
    <comment ref="F7" authorId="0" shapeId="0" xr:uid="{6CE3CE20-8EE2-4DF2-AE12-1ACF2A9C4555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* DEFAULT TO NO
* IF YES, ONLY ALLOW ACCESS TO 2 CODES:
ACTCCARD (FOR BILING DIRECT CLIENTS)
ACTCCARD1 (FOR BILLING CLIENTS ENDING IN TRANSPORT, TRUCKING OR 3P CARRIERS OR BROKERS)
* ALSO IF YES, IT INITIATES THE CREDIT CARD WORKFLOW AT SOME POINT DEPENDING ON HOW WE FINALIZE THE SOP</t>
        </r>
      </text>
    </comment>
    <comment ref="I7" authorId="0" shapeId="0" xr:uid="{DC3F2466-EFFB-4DDC-BE37-2FFBFAA2ECD1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OPTIONS NEED TO BE IN THIS FORMAT:
CANADIAN DOLLARS
US DOLLARS
*DEFAULT TO CANADIAN DOLLARS</t>
        </r>
      </text>
    </comment>
    <comment ref="C13" authorId="0" shapeId="0" xr:uid="{2B130BB5-98AA-4EFA-9963-7D87196DA3FD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CODE DOES NOT EXIST, ALL GREEN FIELDS UNDER SHIPPER NEED TO TURN TO YELLOW FOR USER TO ENTER</t>
        </r>
      </text>
    </comment>
    <comment ref="J13" authorId="0" shapeId="0" xr:uid="{EA1D4EB2-9183-43A2-9C68-ABD331B844A7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CODE DOES NOT EXIST, ALL GREEN FIELDS UNDER SHIPPER NEED TO TURN TO YELLOW FOR USER TO ENTER</t>
        </r>
      </text>
    </comment>
    <comment ref="B16" authorId="1" shapeId="0" xr:uid="{C125CF2C-BACC-41E6-963B-01CAD5AB3090}">
      <text>
        <r>
          <rPr>
            <b/>
            <sz val="9"/>
            <color indexed="81"/>
            <rFont val="Tahoma"/>
            <family val="2"/>
          </rPr>
          <t>Akhil Kamboj:</t>
        </r>
        <r>
          <rPr>
            <sz val="9"/>
            <color indexed="81"/>
            <rFont val="Tahoma"/>
            <family val="2"/>
          </rPr>
          <t xml:space="preserve">
ENTER 1ST 3 OR 4 CHARACTERS</t>
        </r>
      </text>
    </comment>
    <comment ref="I16" authorId="1" shapeId="0" xr:uid="{9AD4A780-3EC5-43F5-9A96-E90AF62774CC}">
      <text>
        <r>
          <rPr>
            <b/>
            <sz val="9"/>
            <color indexed="81"/>
            <rFont val="Tahoma"/>
            <family val="2"/>
          </rPr>
          <t>Akhil Kamboj:</t>
        </r>
        <r>
          <rPr>
            <sz val="9"/>
            <color indexed="81"/>
            <rFont val="Tahoma"/>
            <family val="2"/>
          </rPr>
          <t xml:space="preserve">
ENTER 1ST 3 OR 4 CHARACTERS</t>
        </r>
      </text>
    </comment>
    <comment ref="J24" authorId="1" shapeId="0" xr:uid="{3F659A87-33FE-416F-8684-F64AB0198122}">
      <text>
        <r>
          <rPr>
            <b/>
            <sz val="9"/>
            <color indexed="81"/>
            <rFont val="Tahoma"/>
            <family val="2"/>
          </rPr>
          <t>Akhil Kamboj:</t>
        </r>
        <r>
          <rPr>
            <sz val="9"/>
            <color indexed="81"/>
            <rFont val="Tahoma"/>
            <family val="2"/>
          </rPr>
          <t xml:space="preserve">
Fetch the status from Truck Mate. On Hold or blank</t>
        </r>
      </text>
    </comment>
    <comment ref="C25" authorId="0" shapeId="0" xr:uid="{94108560-63A1-4AA4-BBBA-616995FC89BE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CODE DOES NOT EXIST, ALL GREEN FIELDS UNDER SHIPPER NEED TO TURN TO YELLOW FOR USER TO ENTER</t>
        </r>
      </text>
    </comment>
    <comment ref="B28" authorId="1" shapeId="0" xr:uid="{5BD221C0-2330-4FAF-89B1-8E913BB942A6}">
      <text>
        <r>
          <rPr>
            <b/>
            <sz val="9"/>
            <color indexed="81"/>
            <rFont val="Tahoma"/>
            <family val="2"/>
          </rPr>
          <t>Akhil Kamboj:</t>
        </r>
        <r>
          <rPr>
            <sz val="9"/>
            <color indexed="81"/>
            <rFont val="Tahoma"/>
            <family val="2"/>
          </rPr>
          <t xml:space="preserve">
ENTER 1ST 3 OR 4 CHARACTERS</t>
        </r>
      </text>
    </comment>
    <comment ref="C37" authorId="0" shapeId="0" xr:uid="{E8141B38-48D2-49D1-B8AA-C6E264160C8D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CODE DOES NOT EXIST, ALL GREEN FIELDS UNDER SHIPPER NEED TO TURN TO YELLOW FOR USER TO ENTER</t>
        </r>
      </text>
    </comment>
    <comment ref="F37" authorId="0" shapeId="0" xr:uid="{982252B4-9A30-4101-BB56-CE4502B08781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* THIS ONLY NEEDS TO BE POPULATED IF THE CODE DOES NOT EXIST IN TM AND THE AGENT HAS TO FILL OUT FREE FORM; THIS WILL UPDATE THE CODE TO ONE OF THE BELOW
THE OPTIONS NEED TO BE:
JOBSITE
RESIDENTIAL (RESIDENTIL IN TM)
SEASONAL</t>
        </r>
      </text>
    </comment>
    <comment ref="J37" authorId="0" shapeId="0" xr:uid="{4A5972ED-7FD2-4A1E-B992-4A3FE7FF6122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CODE DOES NOT EXIST, ALL GREEN FIELDS UNDER SHIPPER NEED TO TURN TO YELLOW FOR USER TO ENTER</t>
        </r>
      </text>
    </comment>
    <comment ref="M37" authorId="0" shapeId="0" xr:uid="{1C79B108-CB2C-49BF-8DB2-DF9DB7321DB9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* THIS ONLY NEEDS TO BE POPULATED IF THE CODE DOES NOT EXIST IN TM AND THE AGENT HAS TO FILL OUT FREE FORM; THIS WILL UPDATE THE CODE TO ONE OF THE BELOW
THE OPTIONS NEED TO BE:
JOBSITE
RESIDENTIAL (RESIDENTIL IN TM)
SEASONAL</t>
        </r>
      </text>
    </comment>
    <comment ref="B41" authorId="1" shapeId="0" xr:uid="{6DC7468B-5F39-4B44-A523-3535B9CD8138}">
      <text>
        <r>
          <rPr>
            <b/>
            <sz val="9"/>
            <color indexed="81"/>
            <rFont val="Tahoma"/>
            <family val="2"/>
          </rPr>
          <t>Akhil Kamboj:</t>
        </r>
        <r>
          <rPr>
            <sz val="9"/>
            <color indexed="81"/>
            <rFont val="Tahoma"/>
            <family val="2"/>
          </rPr>
          <t xml:space="preserve">
ENTER 1ST 3 OR 4 CHARACTERS</t>
        </r>
      </text>
    </comment>
    <comment ref="I41" authorId="1" shapeId="0" xr:uid="{5C135C76-6D37-48B6-9373-4EC312F713FD}">
      <text>
        <r>
          <rPr>
            <b/>
            <sz val="9"/>
            <color indexed="81"/>
            <rFont val="Tahoma"/>
            <family val="2"/>
          </rPr>
          <t>Akhil Kamboj:</t>
        </r>
        <r>
          <rPr>
            <sz val="9"/>
            <color indexed="81"/>
            <rFont val="Tahoma"/>
            <family val="2"/>
          </rPr>
          <t xml:space="preserve">
ENTER 1ST 3 OR 4 CHARACTERS</t>
        </r>
      </text>
    </comment>
    <comment ref="C44" authorId="0" shapeId="0" xr:uid="{7209B752-2C4C-4F63-B06C-4177FC403B9D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AUTO POPULATE WITH TODAYS DATE</t>
        </r>
      </text>
    </comment>
    <comment ref="E44" authorId="0" shapeId="0" xr:uid="{E7F74217-FDBA-447F-B122-0AE24F4D44BA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THIS INFORMATION WILL COME FROM THE CUSTOEMR PROFILE, CAN BE OVERWRITTEN BY USER</t>
        </r>
      </text>
    </comment>
    <comment ref="J44" authorId="0" shapeId="0" xr:uid="{D6D35411-2DEB-4761-B496-5F58C19F7F85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AUTO POPULATE WITH TODAYS DATE</t>
        </r>
      </text>
    </comment>
    <comment ref="L44" authorId="0" shapeId="0" xr:uid="{E75F3001-D383-49C0-9782-F7CF5CB82565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THIS INFORMATION WILL COME FROM THE CUSTOEMR PROFILE, CAN BE OVERWRITTEN BY USER</t>
        </r>
      </text>
    </comment>
    <comment ref="C45" authorId="0" shapeId="0" xr:uid="{CA5692E0-3377-476E-9BC3-69BF22C19910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AUTO POPULATE WITH TODAYS DATE</t>
        </r>
      </text>
    </comment>
    <comment ref="E45" authorId="0" shapeId="0" xr:uid="{B035C935-A014-4D1B-9ACD-D640298BF75B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THIS INFORMATION WILL COME FROM THE CUSTOEMR PROFILE, CAN BE OVERWRITTEN BY USER</t>
        </r>
      </text>
    </comment>
    <comment ref="J45" authorId="0" shapeId="0" xr:uid="{2803B4A5-5BC4-46A1-8D47-CC9C709F5BEB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AUTO POPULATE WITH TODAYS DATE</t>
        </r>
      </text>
    </comment>
    <comment ref="L45" authorId="0" shapeId="0" xr:uid="{097260B2-BD7E-4CC1-B579-2CDC6880B9A4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THIS INFORMATION WILL COME FROM THE CUSTOEMR PROFILE, CAN BE OVERWRITTEN BY USER</t>
        </r>
      </text>
    </comment>
    <comment ref="C46" authorId="0" shapeId="0" xr:uid="{1DEE3748-CA94-46C1-AF83-62A7E7F608FE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OPTIONS NEED TO BE:
YES
NO</t>
        </r>
      </text>
    </comment>
    <comment ref="E46" authorId="0" shapeId="0" xr:uid="{D343AB78-B66A-461B-938D-EE598BF70EB7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OPTIONS NEED TO BE:
YES
NO</t>
        </r>
      </text>
    </comment>
    <comment ref="G46" authorId="0" shapeId="0" xr:uid="{BDE78B7B-5F1E-461C-B05F-1B81B41F0DA2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OPTIONS NEED TO BE:
YES
NO
* IF APPT REQUIRED IS NO; AUTO-POPULATE WITH NO</t>
        </r>
      </text>
    </comment>
    <comment ref="J46" authorId="0" shapeId="0" xr:uid="{4B419EF8-83CA-4F05-9624-73FE8E3729E8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OPTIONS NEED TO BE:
YES
NO</t>
        </r>
      </text>
    </comment>
    <comment ref="L46" authorId="0" shapeId="0" xr:uid="{E1F19B7E-7788-4A04-8A45-D89951117890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OPTIONS NEED TO BE:
YES
NO</t>
        </r>
      </text>
    </comment>
    <comment ref="N46" authorId="0" shapeId="0" xr:uid="{4BE4BD7E-84F0-4217-8AFD-838C4B94BD9A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OPTIONS NEED TO BE:
YES
NO
* IF APPT REQUIRED IS NO; AUTO-POPULATE WITH NO</t>
        </r>
      </text>
    </comment>
    <comment ref="C47" authorId="0" shapeId="0" xr:uid="{0A7E35CA-BD0A-4B6F-BB8B-C6FFC17ED454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PROFILE EXISTS, CANNOT OVERWRITE</t>
        </r>
      </text>
    </comment>
    <comment ref="J47" authorId="0" shapeId="0" xr:uid="{47FC2675-424B-474E-BFD2-EEB10F6028A4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PROFILE EXISTS, CANNOT OVERWRITE</t>
        </r>
      </text>
    </comment>
    <comment ref="C58" authorId="0" shapeId="0" xr:uid="{71AB10C3-B8E2-4737-8835-11AD8195F1F0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THE OPTIONS NEED TO COME FROM TM
* DEFAULT TO "REGULAR"</t>
        </r>
      </text>
    </comment>
    <comment ref="C60" authorId="0" shapeId="0" xr:uid="{FF8E31ED-E12C-4892-8000-C06514D653DD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IT IS ENTERED AS TRUCKLOAD, ENTER PIECES 1 AND PIECES UNITS AS LD.
IF IT IS A FULL LOAD ENTERED AS 1 LD, DIMENSIONS TO AUTO-POPULATE AS:
1 PIECES; 636 (L) X 96 (W) X 96 (H)</t>
        </r>
      </text>
    </comment>
    <comment ref="F60" authorId="0" shapeId="0" xr:uid="{4F3DE43B-7532-427B-812D-947D10937FA4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THE OPTIONS NEED TO COME FROM TM</t>
        </r>
      </text>
    </comment>
    <comment ref="I60" authorId="0" shapeId="0" xr:uid="{21D5FD85-CBD1-44B1-955B-CCF8EEC71EC4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THE OPTIONS NEED TO COME FROM TM
*DEFAULT TO "FAK"</t>
        </r>
      </text>
    </comment>
    <comment ref="L60" authorId="0" shapeId="0" xr:uid="{E15AA86A-3223-4C05-AE3D-CFCDABF4BA9C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DEFAULT TO  "FREIGHT OF ALL KIND"
WILL PREPOPULATE PER BELOW DEPENDING ON WHICH FILEDS ARE FILLED OUT 
EXAMPLES:   
SHIPPERS LOAD &amp; COUNT
OR
SHIPPERS LOAD &amp; COUNT; STC 22 CARTONS
SHIPPERS LOAD &amp; COUNT; STC  22 BUNDLES
SHIPPERS LOAD &amp; COUNT; STC 22 DRUMS  
OR
SHIPPERS LOAD &amp; COUNT; 8 SKID SPOTS
SUBSEQUENTLY DESCRIPTION POPULATES IN TM " SHIPPERS LOAD &amp; COUNT; STC 22 *COMMODITY*"</t>
        </r>
      </text>
    </comment>
    <comment ref="E62" authorId="0" shapeId="0" xr:uid="{5634FA23-5844-4956-AFE3-C5846B96DB14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WIDTH CANNOT EXCEED 95 INCHES. IF IT DOES, CALL MANAGER</t>
        </r>
      </text>
    </comment>
    <comment ref="F62" authorId="0" shapeId="0" xr:uid="{3F94A72F-8202-41B8-9C90-3D96D61D8EC8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HEIGHT CANNOT EXCEED 109 INCHES. IF IT DOES, CALL MANAGER</t>
        </r>
      </text>
    </comment>
    <comment ref="C64" authorId="0" shapeId="0" xr:uid="{587820D0-6784-4F83-AC1C-5D4AEDB56664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* DEFAULT TO YES
* DESCRIPTION POPULATES IN FORM &amp;  TM " SHIPPERS LOAD &amp; COUNT;STC 22 *COMMODITY*"
EXAMPLE:   SHIPPERS LOAD &amp; COUNT; STC 22 CARTONS
                            SHIPPERS LOAD &amp; COUNT; STC  SHIPPERS LOAD &amp; COUNT; 22 BUNDLES
                            SHIPPERS LOAD &amp; COUNT; STC 22 DRUMS</t>
        </r>
      </text>
    </comment>
    <comment ref="F64" authorId="0" shapeId="0" xr:uid="{BA79D8A8-4C90-4282-8C3D-92B23B90A871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WILL BE ENTERED IN TM AS "STC 22 </t>
        </r>
        <r>
          <rPr>
            <sz val="9"/>
            <color indexed="10"/>
            <rFont val="Tahoma"/>
            <family val="2"/>
          </rPr>
          <t>*COMMODITY*</t>
        </r>
        <r>
          <rPr>
            <sz val="9"/>
            <color indexed="81"/>
            <rFont val="Tahoma"/>
            <family val="2"/>
          </rPr>
          <t>"
EXAMPLE:  STC 22 CARTONS
                STC 22 BUNDLES
                STC 22 DRUMS</t>
        </r>
      </text>
    </comment>
    <comment ref="I64" authorId="0" shapeId="0" xr:uid="{7059F3DD-92E9-47B7-A0F8-16069097EF93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NUMERICAL VALUE WILL BE ENTERED IN TM AS "8 SKID SPOTS"
* DESCRIPTION POPULATES IN FORM &amp; TM " SHIPPERS LOAD &amp; COUNT;8 SKID SPOTS"
</t>
        </r>
      </text>
    </comment>
    <comment ref="F66" authorId="0" shapeId="0" xr:uid="{6510B44A-1D59-4EAC-B9D3-8E9A444BF057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OPTION NEED TO BE YES OR NO
THIS WILL POPULATE UNDER "DANGEROUS GOODS" IN TM</t>
        </r>
      </text>
    </comment>
    <comment ref="I66" authorId="0" shapeId="0" xr:uid="{D8BDB082-BE7E-4DCE-BDF1-0C07486BC1CA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THE OPTIONS NEED TO COME FROM TM
IF DG IS YES, CANNOT MOVE FORWARD UNTIL THIS IS FILLED OUT</t>
        </r>
      </text>
    </comment>
    <comment ref="L66" authorId="0" shapeId="0" xr:uid="{A5943873-2624-43A5-AA2B-5E031A045742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THIS WILL POPULATE UNDER "HIGH VALUE" IN TM</t>
        </r>
      </text>
    </comment>
    <comment ref="M66" authorId="0" shapeId="0" xr:uid="{9B2586FD-0C06-498D-8739-777E0B021C66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THIS WILL POPULATE UNDER "DECLARED VALUE" IN TM
</t>
        </r>
      </text>
    </comment>
    <comment ref="F72" authorId="0" shapeId="0" xr:uid="{B11002AB-3F99-4D75-8286-1C4F44F634D7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CALENDAR</t>
        </r>
      </text>
    </comment>
    <comment ref="C79" authorId="0" shapeId="0" xr:uid="{BF0C2258-9E5F-41D9-86AF-C3DA7D666738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THE OPTIONS NEED TO COME FROM TM</t>
        </r>
      </text>
    </comment>
    <comment ref="F79" authorId="0" shapeId="0" xr:uid="{6C25E91C-E40B-4712-AC7E-0AC340376717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"YES" UPDATE SHIPPING INSTRUCTIONS TO TRUE</t>
        </r>
      </text>
    </comment>
    <comment ref="J79" authorId="0" shapeId="0" xr:uid="{21D3847F-BC2A-4AC6-8329-EE1EA080989A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THE OPTIONS NEED TO COME FROM TM</t>
        </r>
      </text>
    </comment>
    <comment ref="M79" authorId="0" shapeId="0" xr:uid="{C5A53A03-E333-4B3A-9DDF-EF026313F2EE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"YES" UPDATE SHIPPING INSTRUCTIONS TO TRUE</t>
        </r>
      </text>
    </comment>
    <comment ref="C81" authorId="0" shapeId="0" xr:uid="{2C7D742D-8FE2-41E6-9510-110CA8CC103C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"YES" UPDATE SHIPPING INSTRUCTIONS TO TRUE</t>
        </r>
      </text>
    </comment>
    <comment ref="F81" authorId="0" shapeId="0" xr:uid="{FB69EB4C-62AC-40F8-B775-F12D8AF80974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"YES" UPDATE SHIPPING INSTRUCTIONS TO TRUE</t>
        </r>
      </text>
    </comment>
    <comment ref="J81" authorId="0" shapeId="0" xr:uid="{8CD0221D-AFE2-4F45-8573-09675D8CBDD4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"YES" UPDATE SHIPPING INSTRUCTIONS TO TRUE</t>
        </r>
      </text>
    </comment>
    <comment ref="M81" authorId="0" shapeId="0" xr:uid="{253BE85B-80AD-4826-A721-45FD0E708EFB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IF "YES" UPDATE SHIPPING INSTRUCTIONS TO TRUE</t>
        </r>
      </text>
    </comment>
    <comment ref="C83" authorId="0" shapeId="0" xr:uid="{19725817-C1A1-467F-A783-5F3CA2FB24F8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THE OPTIONS NEED TO COME FROM TM</t>
        </r>
      </text>
    </comment>
    <comment ref="J83" authorId="0" shapeId="0" xr:uid="{E1EA85BE-45E7-4BD6-965A-00A5D3714C7A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THE OPTIONS NEED TO COME FROM TM</t>
        </r>
      </text>
    </comment>
    <comment ref="C87" authorId="0" shapeId="0" xr:uid="{95C88762-517A-4BD1-B1C6-E8B4E9122618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LIMIT TO 42 CHARACTERS</t>
        </r>
      </text>
    </comment>
    <comment ref="C89" authorId="0" shapeId="0" xr:uid="{176BA848-6116-4B57-A6E5-267F68806314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CTRL + T FOR USER &amp; TIMESTAMP
AND THEN COPY/PASTE NOTES UNDER OTHER</t>
        </r>
      </text>
    </comment>
    <comment ref="F103" authorId="0" shapeId="0" xr:uid="{9F08B50C-E9AC-430E-8CBC-791F5D88F017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OPTIONS NEED TO BE IN THIS FORMAT:
DO NOT SHIP - AWAITING PAYMENT
PYMNT RCVD - CC
CANNOT MOVE FORWARD UNTIL THIS IS FILLED OUT IF BILL TO CODE IS CREDIT CARD</t>
        </r>
      </text>
    </comment>
    <comment ref="J103" authorId="0" shapeId="0" xr:uid="{99AC88A5-8E4D-481F-AE15-9F81D699C698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OVERWRITE THIS EMAIL ADDRESS UNDER CALLER &gt; NOTIFY IN TM
</t>
        </r>
      </text>
    </comment>
    <comment ref="F105" authorId="0" shapeId="0" xr:uid="{F7954118-9FD7-4AD6-9979-01E7C8E497F9}">
      <text>
        <r>
          <rPr>
            <b/>
            <sz val="9"/>
            <color indexed="81"/>
            <rFont val="Tahoma"/>
            <family val="2"/>
          </rPr>
          <t>Rima Jhavery:</t>
        </r>
        <r>
          <rPr>
            <sz val="9"/>
            <color indexed="81"/>
            <rFont val="Tahoma"/>
            <family val="2"/>
          </rPr>
          <t xml:space="preserve">
CANNOT MOVE FORWARD UNTIL THIS IS FILLED OUT IF BILL TO CODE IS CREDIT CARD</t>
        </r>
      </text>
    </comment>
  </commentList>
</comments>
</file>

<file path=xl/sharedStrings.xml><?xml version="1.0" encoding="utf-8"?>
<sst xmlns="http://schemas.openxmlformats.org/spreadsheetml/2006/main" count="1144" uniqueCount="647">
  <si>
    <t>Delivery Type</t>
  </si>
  <si>
    <t>Payment Type</t>
  </si>
  <si>
    <t>Pieces</t>
  </si>
  <si>
    <t>Commodity</t>
  </si>
  <si>
    <t>Dangerous goods</t>
  </si>
  <si>
    <t>Heat Requirement</t>
  </si>
  <si>
    <t>SLC</t>
  </si>
  <si>
    <t>STC</t>
  </si>
  <si>
    <t>SKS</t>
  </si>
  <si>
    <t>Weight (lbs)</t>
  </si>
  <si>
    <t>Trace Type</t>
  </si>
  <si>
    <t>Pick-up numbers</t>
  </si>
  <si>
    <t>Cargo control (CCN)</t>
  </si>
  <si>
    <t>Purchase Order (PO)</t>
  </si>
  <si>
    <t>Service Level</t>
  </si>
  <si>
    <t>Required Arrival Date (RAD)</t>
  </si>
  <si>
    <t>FB Notes</t>
  </si>
  <si>
    <t>Shipping Instructions</t>
  </si>
  <si>
    <t>PaymentType</t>
  </si>
  <si>
    <t>Label</t>
  </si>
  <si>
    <t>Cell</t>
  </si>
  <si>
    <t>Required</t>
  </si>
  <si>
    <t>ConditionFormula</t>
  </si>
  <si>
    <t>IsRequiredNow</t>
  </si>
  <si>
    <t>IsMissing</t>
  </si>
  <si>
    <t>MissingLabel</t>
  </si>
  <si>
    <t>Quote</t>
  </si>
  <si>
    <t>C5</t>
  </si>
  <si>
    <t>FALSE</t>
  </si>
  <si>
    <t>Bill to Name</t>
  </si>
  <si>
    <t>C32</t>
  </si>
  <si>
    <t>Bill to Address</t>
  </si>
  <si>
    <t>C33</t>
  </si>
  <si>
    <t>Bill to Phone</t>
  </si>
  <si>
    <t>C34</t>
  </si>
  <si>
    <t>Bill to Email</t>
  </si>
  <si>
    <t>C35</t>
  </si>
  <si>
    <t>Bill to Hours</t>
  </si>
  <si>
    <t>C36</t>
  </si>
  <si>
    <t>C39</t>
  </si>
  <si>
    <t>TRUE</t>
  </si>
  <si>
    <t>Caller Name</t>
  </si>
  <si>
    <t>C8</t>
  </si>
  <si>
    <t>Caller Address</t>
  </si>
  <si>
    <t>C9</t>
  </si>
  <si>
    <t>Caller Phone</t>
  </si>
  <si>
    <t>C10</t>
  </si>
  <si>
    <t>Caller Email</t>
  </si>
  <si>
    <t>C11</t>
  </si>
  <si>
    <t>Caller Hours</t>
  </si>
  <si>
    <t>C12</t>
  </si>
  <si>
    <t>Shipper Name</t>
  </si>
  <si>
    <t>C16</t>
  </si>
  <si>
    <t>Shipper Address</t>
  </si>
  <si>
    <t>C17</t>
  </si>
  <si>
    <t>Shipper Phone</t>
  </si>
  <si>
    <t>C18</t>
  </si>
  <si>
    <t>Shipper Email</t>
  </si>
  <si>
    <t>C19</t>
  </si>
  <si>
    <t>Shipper Hours</t>
  </si>
  <si>
    <t>C20</t>
  </si>
  <si>
    <t>Consignee Name</t>
  </si>
  <si>
    <t>C24</t>
  </si>
  <si>
    <t>Consignee Address</t>
  </si>
  <si>
    <t>C25</t>
  </si>
  <si>
    <t>Consignee Phone</t>
  </si>
  <si>
    <t>C26</t>
  </si>
  <si>
    <t>Consignee Email</t>
  </si>
  <si>
    <t>C27</t>
  </si>
  <si>
    <t>Consignee Hours</t>
  </si>
  <si>
    <t>C28</t>
  </si>
  <si>
    <t>Pickup Date</t>
  </si>
  <si>
    <t>I8</t>
  </si>
  <si>
    <t>Pickup Time</t>
  </si>
  <si>
    <t>L8</t>
  </si>
  <si>
    <t>Pickup Address</t>
  </si>
  <si>
    <t>I9</t>
  </si>
  <si>
    <t>Pickup Address Type</t>
  </si>
  <si>
    <t>I11</t>
  </si>
  <si>
    <t>Pickup Appt Required</t>
  </si>
  <si>
    <t>I12</t>
  </si>
  <si>
    <t>Pickup Appt Date</t>
  </si>
  <si>
    <t>I13</t>
  </si>
  <si>
    <t>Form!I12="Yes"</t>
  </si>
  <si>
    <t>Pickup Appt Time</t>
  </si>
  <si>
    <t>L13</t>
  </si>
  <si>
    <t>Pickup Appt Type</t>
  </si>
  <si>
    <t>I14</t>
  </si>
  <si>
    <t>Delivery Date</t>
  </si>
  <si>
    <t>I18</t>
  </si>
  <si>
    <t>Delivery Time</t>
  </si>
  <si>
    <t>L18</t>
  </si>
  <si>
    <t>Delivery Address</t>
  </si>
  <si>
    <t>I19</t>
  </si>
  <si>
    <t>Delivery Address Type</t>
  </si>
  <si>
    <t>I21</t>
  </si>
  <si>
    <t>Delivery Appt Required</t>
  </si>
  <si>
    <t>I22</t>
  </si>
  <si>
    <t>Delivery Appt Date</t>
  </si>
  <si>
    <t>I23</t>
  </si>
  <si>
    <t>Form!I22="Yes"</t>
  </si>
  <si>
    <t>Delivery Appt Time</t>
  </si>
  <si>
    <t>L23</t>
  </si>
  <si>
    <t>I24</t>
  </si>
  <si>
    <t>Delivery Appt Type</t>
  </si>
  <si>
    <t>I25</t>
  </si>
  <si>
    <t>C42</t>
  </si>
  <si>
    <t>Pieces Unit</t>
  </si>
  <si>
    <t>F42</t>
  </si>
  <si>
    <t>I42</t>
  </si>
  <si>
    <t>K42</t>
  </si>
  <si>
    <t>C44</t>
  </si>
  <si>
    <t>F44</t>
  </si>
  <si>
    <t>I44</t>
  </si>
  <si>
    <t>K44</t>
  </si>
  <si>
    <t>C46</t>
  </si>
  <si>
    <t>Length (in)</t>
  </si>
  <si>
    <t>F46</t>
  </si>
  <si>
    <t>Width (in)</t>
  </si>
  <si>
    <t>G46</t>
  </si>
  <si>
    <t>Height (in)</t>
  </si>
  <si>
    <t>H46</t>
  </si>
  <si>
    <t>Pickup Equipment Type</t>
  </si>
  <si>
    <t>C53</t>
  </si>
  <si>
    <t>Pickup PTG</t>
  </si>
  <si>
    <t>E53</t>
  </si>
  <si>
    <t>Pickup Inside</t>
  </si>
  <si>
    <t>C55</t>
  </si>
  <si>
    <t>Pickup Dock</t>
  </si>
  <si>
    <t>E55</t>
  </si>
  <si>
    <t>Pickup Pallet jack</t>
  </si>
  <si>
    <t>C57</t>
  </si>
  <si>
    <t>Delivery Equipment Type</t>
  </si>
  <si>
    <t>I53</t>
  </si>
  <si>
    <t>Delivery PTG</t>
  </si>
  <si>
    <t>K53</t>
  </si>
  <si>
    <t>Delivery Inside</t>
  </si>
  <si>
    <t>I55</t>
  </si>
  <si>
    <t>Delivery Dock</t>
  </si>
  <si>
    <t>K55</t>
  </si>
  <si>
    <t>Delivery Pallet jack</t>
  </si>
  <si>
    <t>I57</t>
  </si>
  <si>
    <t>C61</t>
  </si>
  <si>
    <t>F61</t>
  </si>
  <si>
    <t>H61</t>
  </si>
  <si>
    <t>J61</t>
  </si>
  <si>
    <t>C63</t>
  </si>
  <si>
    <t>L62</t>
  </si>
  <si>
    <t>C69</t>
  </si>
  <si>
    <t>C73</t>
  </si>
  <si>
    <t>Timestamp</t>
  </si>
  <si>
    <t>Caller_Name</t>
  </si>
  <si>
    <t>Caller_Address</t>
  </si>
  <si>
    <t>Caller_Phone</t>
  </si>
  <si>
    <t>Caller_Email</t>
  </si>
  <si>
    <t>Caller_Hours</t>
  </si>
  <si>
    <t>Shipper_Name</t>
  </si>
  <si>
    <t>Shipper_Address</t>
  </si>
  <si>
    <t>Shipper_Phone</t>
  </si>
  <si>
    <t>Shipper_Email</t>
  </si>
  <si>
    <t>Shipper_Hours</t>
  </si>
  <si>
    <t>Consignee_Name</t>
  </si>
  <si>
    <t>Consignee_Address</t>
  </si>
  <si>
    <t>Consignee_Phone</t>
  </si>
  <si>
    <t>Consignee_Email</t>
  </si>
  <si>
    <t>Consignee_Hours</t>
  </si>
  <si>
    <t>BillTo_Name</t>
  </si>
  <si>
    <t>BillTo_Address</t>
  </si>
  <si>
    <t>BillTo_Phone</t>
  </si>
  <si>
    <t>BillTo_Email</t>
  </si>
  <si>
    <t>BillTo_Hours</t>
  </si>
  <si>
    <t>Pickup_Date</t>
  </si>
  <si>
    <t>Pickup_Time</t>
  </si>
  <si>
    <t>Pickup_Address</t>
  </si>
  <si>
    <t>Pickup_AddressType</t>
  </si>
  <si>
    <t>Pickup_ApptRequired</t>
  </si>
  <si>
    <t>Pickup_ApptDate</t>
  </si>
  <si>
    <t>Pickup_ApptTime</t>
  </si>
  <si>
    <t>Pickup_ApptType</t>
  </si>
  <si>
    <t>Delivery_Date</t>
  </si>
  <si>
    <t>Delivery_Time</t>
  </si>
  <si>
    <t>Delivery_Address</t>
  </si>
  <si>
    <t>Delivery_AddressType</t>
  </si>
  <si>
    <t>Delivery_ApptRequired</t>
  </si>
  <si>
    <t>Delivery_ApptDate</t>
  </si>
  <si>
    <t>Delivery_ApptTime</t>
  </si>
  <si>
    <t>Delivery_Type</t>
  </si>
  <si>
    <t>Delivery_ApptType</t>
  </si>
  <si>
    <t>Pieces_Unit</t>
  </si>
  <si>
    <t>Dangerous_Goods</t>
  </si>
  <si>
    <t>Heat_Req</t>
  </si>
  <si>
    <t>Weight_lbs</t>
  </si>
  <si>
    <t>Len_in</t>
  </si>
  <si>
    <t>Wid_in</t>
  </si>
  <si>
    <t>Hei_in</t>
  </si>
  <si>
    <t>Pickup_Equip_Type</t>
  </si>
  <si>
    <t>Pickup_PTG</t>
  </si>
  <si>
    <t>Pickup_Inside</t>
  </si>
  <si>
    <t>Pickup_Dock</t>
  </si>
  <si>
    <t>Pickup_PalletJack</t>
  </si>
  <si>
    <t>Delivery_Equip_Type</t>
  </si>
  <si>
    <t>Delivery_PTG</t>
  </si>
  <si>
    <t>Delivery_Inside</t>
  </si>
  <si>
    <t>Delivery_Dock</t>
  </si>
  <si>
    <t>Delivery_PalletJack</t>
  </si>
  <si>
    <t>Trace_Type</t>
  </si>
  <si>
    <t>Pickup_Numbers</t>
  </si>
  <si>
    <t>CCN</t>
  </si>
  <si>
    <t>PO</t>
  </si>
  <si>
    <t>RAD</t>
  </si>
  <si>
    <t>Service_Level</t>
  </si>
  <si>
    <t>FB_Notes</t>
  </si>
  <si>
    <t>Shipping_Instructions</t>
  </si>
  <si>
    <t>CC PAYMENT STATUS</t>
  </si>
  <si>
    <t>CREDIT CARD</t>
  </si>
  <si>
    <t>BILL TO</t>
  </si>
  <si>
    <t>SHIPPING INSTRUCTIONS</t>
  </si>
  <si>
    <t>FB NOTES</t>
  </si>
  <si>
    <t>NOTES &amp; INSTRUCTIONS</t>
  </si>
  <si>
    <t>QUOTE (OPTIONAL)</t>
  </si>
  <si>
    <t>BILLTO</t>
  </si>
  <si>
    <t>CALLER</t>
  </si>
  <si>
    <t>SHIPPER</t>
  </si>
  <si>
    <t>CONSIGNEE</t>
  </si>
  <si>
    <t>OTHERS</t>
  </si>
  <si>
    <t>ADDRESSTYPE</t>
  </si>
  <si>
    <t>YESNO</t>
  </si>
  <si>
    <t>APPOINTMENTTYPE</t>
  </si>
  <si>
    <t>PIECESUNIT</t>
  </si>
  <si>
    <t>PAYMENTTYPE</t>
  </si>
  <si>
    <t>DELIVERYTYPE</t>
  </si>
  <si>
    <t>SERVICELEVEL</t>
  </si>
  <si>
    <t>RESIDENTIAL</t>
  </si>
  <si>
    <t>YES</t>
  </si>
  <si>
    <t>WINDOW</t>
  </si>
  <si>
    <t>PIECES</t>
  </si>
  <si>
    <t>SINGLE</t>
  </si>
  <si>
    <t>DROP AT DOCK</t>
  </si>
  <si>
    <t>DOCK</t>
  </si>
  <si>
    <t>NO</t>
  </si>
  <si>
    <t>HARD</t>
  </si>
  <si>
    <t>PALLET</t>
  </si>
  <si>
    <t>MULTIPLE</t>
  </si>
  <si>
    <t>HOLD AT DOCK</t>
  </si>
  <si>
    <t>MALL</t>
  </si>
  <si>
    <t/>
  </si>
  <si>
    <t>FINABLE</t>
  </si>
  <si>
    <t>CARTONS</t>
  </si>
  <si>
    <t>DE-STUFF</t>
  </si>
  <si>
    <t>HOT FREIGHT</t>
  </si>
  <si>
    <t>JOB SITES</t>
  </si>
  <si>
    <t>CRATES</t>
  </si>
  <si>
    <t>PEDDLE</t>
  </si>
  <si>
    <t>REGULAR</t>
  </si>
  <si>
    <t>NOT KNOWN</t>
  </si>
  <si>
    <t>BUNDLES</t>
  </si>
  <si>
    <t>SAME DAY</t>
  </si>
  <si>
    <t>OTHER</t>
  </si>
  <si>
    <t>CCPAYMENTSTATUS</t>
  </si>
  <si>
    <t>DO NOT SHIP-AWAITING PAYMENT</t>
  </si>
  <si>
    <t>PYMNT RCVD-CC</t>
  </si>
  <si>
    <t>REFERENCE NUMBERS</t>
  </si>
  <si>
    <t>PURCHASE ORDER (PO)</t>
  </si>
  <si>
    <t>SERVICE LEVEL</t>
  </si>
  <si>
    <t>REQUIRED ARRIVAL DATE (RAD)</t>
  </si>
  <si>
    <t>CARGO CONTROL (CCN)</t>
  </si>
  <si>
    <t>PALLET JACK</t>
  </si>
  <si>
    <t>INSIDE DELIVERY</t>
  </si>
  <si>
    <t>EQUIPMENT TYPE</t>
  </si>
  <si>
    <t>PAYMENT INFORMATION</t>
  </si>
  <si>
    <t>COMMODITY</t>
  </si>
  <si>
    <t>WEIGHT (LBS)</t>
  </si>
  <si>
    <t>PIECES UNIT</t>
  </si>
  <si>
    <t>SKIDS SPOTS (SKS)</t>
  </si>
  <si>
    <t>HEAT REQUIREMENT</t>
  </si>
  <si>
    <t>ADDRESS TYPE</t>
  </si>
  <si>
    <t>APPT REQUIRED</t>
  </si>
  <si>
    <t>CODE</t>
  </si>
  <si>
    <t>PHONE</t>
  </si>
  <si>
    <t>EMAIL</t>
  </si>
  <si>
    <t>NAME</t>
  </si>
  <si>
    <t>FREIGHT DESCRIPTION</t>
  </si>
  <si>
    <t>PRE-PAID</t>
  </si>
  <si>
    <t>COLLECT</t>
  </si>
  <si>
    <t>THIRD PARTY</t>
  </si>
  <si>
    <t>AAAA2222</t>
  </si>
  <si>
    <t>CITY</t>
  </si>
  <si>
    <t>PROVINCE</t>
  </si>
  <si>
    <t>POSTAL CODE</t>
  </si>
  <si>
    <t>NOTIFY</t>
  </si>
  <si>
    <t>ABCD@EXAMPLE.COM</t>
  </si>
  <si>
    <t>EXT</t>
  </si>
  <si>
    <t>CURRENCY</t>
  </si>
  <si>
    <t>CHOOSE FROM DROP DOWN (TM)</t>
  </si>
  <si>
    <t>TM = TRUCKMATE</t>
  </si>
  <si>
    <t>SPOT</t>
  </si>
  <si>
    <t>APPT MADE</t>
  </si>
  <si>
    <t>DROP</t>
  </si>
  <si>
    <t>PICK UP START TIME</t>
  </si>
  <si>
    <t>PICK UP END TIME</t>
  </si>
  <si>
    <t>START ZONE</t>
  </si>
  <si>
    <t>PRCITY</t>
  </si>
  <si>
    <t>DELIVERY START TIME</t>
  </si>
  <si>
    <t>DELIVERY END TIME</t>
  </si>
  <si>
    <t>END ZONE</t>
  </si>
  <si>
    <t>SHIPPER CODE</t>
  </si>
  <si>
    <t>CONSIGNEE CODE</t>
  </si>
  <si>
    <t>L</t>
  </si>
  <si>
    <t>W</t>
  </si>
  <si>
    <t>H</t>
  </si>
  <si>
    <t>DIMENSIONS (INCHES) L x W x H</t>
  </si>
  <si>
    <t>SAID TO CONTAIN (STC)</t>
  </si>
  <si>
    <t>UN NUMBER (DG)</t>
  </si>
  <si>
    <t>DANGEROUS GOODS (DG)</t>
  </si>
  <si>
    <t>DECLARED VALUE</t>
  </si>
  <si>
    <t>$ AMOUNT</t>
  </si>
  <si>
    <t>JOB NUMBER</t>
  </si>
  <si>
    <t>PICK-UP NUMBER</t>
  </si>
  <si>
    <t>LOAD CONFIRMATION NUMBER</t>
  </si>
  <si>
    <t>POWER TAILGATE (PTG)</t>
  </si>
  <si>
    <t>TYPE OF FREIGHTBILL</t>
  </si>
  <si>
    <t>FREIGHTBILL PREFIX</t>
  </si>
  <si>
    <t>SINGLE = 1 PICK UP &amp; 1 DELIVERY</t>
  </si>
  <si>
    <t>MULTIPLE = LTL SINGLE PICK UP TO MULTIPLE DELIVERY POINTS</t>
  </si>
  <si>
    <t>DE-STUFF = INBOUND FREIGHT TO APPS CARGO DOCK &amp; DELIVERY TO MULTIPLE DELIVERY POINTS</t>
  </si>
  <si>
    <t>EXTRA STOP = 1 PICK &amp; MULTIPLE DELIVERY POINTS OR MULTIPLE PICKUPS TO 1 DELIVERY POINT</t>
  </si>
  <si>
    <t>TYPE OF FREIGHTBILL - WILL REQUIRE DIFFERENT WORK FLOWS:</t>
  </si>
  <si>
    <t>Fill all required fields(yellow). Pre-filled fields are green. Optional fields are orange. Format prompts are in blue font.</t>
  </si>
  <si>
    <t>POP UP NOTES</t>
  </si>
  <si>
    <t>ADDRESS LINE</t>
  </si>
  <si>
    <t>UNIT / SUITE #</t>
  </si>
  <si>
    <t>SHIPPER'S LOAD AND COUNT (SLC)</t>
  </si>
  <si>
    <t>CLICKING "TAB" TAKES USER TO NEXT FILLABLE FIELD</t>
  </si>
  <si>
    <t>NOTES</t>
  </si>
  <si>
    <t xml:space="preserve"> </t>
  </si>
  <si>
    <t>PAYMENT RECEIVED $</t>
  </si>
  <si>
    <t>IS IT POSSIBLE TO HAVE "INSTRUCTIONS" FOR CERTAIN FIELDS POP UP WHEN AGENT CLICKS ON THE CELL? EXAMPLE: START ZONE; HOW TO ENTER - 2 LETTERS OF PROVINCE AND THEN CITY NAME</t>
  </si>
  <si>
    <t>DESCRIPTION</t>
  </si>
  <si>
    <r>
      <t xml:space="preserve">REQUESTED EQUIPMENT FOR </t>
    </r>
    <r>
      <rPr>
        <b/>
        <sz val="12"/>
        <color rgb="FFFF0000"/>
        <rFont val="Calibri"/>
        <family val="2"/>
      </rPr>
      <t>PICK UP</t>
    </r>
  </si>
  <si>
    <r>
      <t xml:space="preserve">REQUESTED EQUIPMENT FOR </t>
    </r>
    <r>
      <rPr>
        <b/>
        <sz val="12"/>
        <color rgb="FFFF0000"/>
        <rFont val="Calibri"/>
        <family val="2"/>
      </rPr>
      <t>DELIVERY</t>
    </r>
  </si>
  <si>
    <t>FREIGHT BILL NUMBER</t>
  </si>
  <si>
    <t>* ADD ADDITIONAL LINES, IF "ADD MORE (+)" BUTTON IS CLICKED</t>
  </si>
  <si>
    <t>CREDIT CARD PAYMENT INFORMATION</t>
  </si>
  <si>
    <t>FREIGHT CHARGE</t>
  </si>
  <si>
    <t>TOTAL</t>
  </si>
  <si>
    <t>FSC &amp; ACCESSORIAL CHARGES</t>
  </si>
  <si>
    <t>TAX 1</t>
  </si>
  <si>
    <t>ENTER 1ST 3 OR 4 CHARACTERS</t>
  </si>
  <si>
    <t>*CREDIT CARD SOP (PCI CERTIFIED SOLUTION)</t>
  </si>
  <si>
    <t>CANADIAN DOLLARS</t>
  </si>
  <si>
    <t>JOBSITE</t>
  </si>
  <si>
    <t>FAK</t>
  </si>
  <si>
    <t>CUSTOMER REFERENCE NUMBER</t>
  </si>
  <si>
    <t>INSIDE PICK UP</t>
  </si>
  <si>
    <r>
      <t xml:space="preserve">OTHER </t>
    </r>
    <r>
      <rPr>
        <sz val="12"/>
        <color rgb="FF284E7A"/>
        <rFont val="Calibri"/>
        <family val="2"/>
      </rPr>
      <t>(IN CASE OF THIRD PARTY ORDERS)</t>
    </r>
  </si>
  <si>
    <t>DISPOSITION</t>
  </si>
  <si>
    <t>REASON, IF MISSING INFO</t>
  </si>
  <si>
    <t>ORDER SUBMITTED</t>
  </si>
  <si>
    <t>INFO MISSING FROM CUSTOMER</t>
  </si>
  <si>
    <t>CUSTOMER  CODE</t>
  </si>
  <si>
    <t>CUSTOMER  ADDRESS LINE</t>
  </si>
  <si>
    <t>CUSTOMER  UNIT / SUITE #</t>
  </si>
  <si>
    <t>CUSTOMER  CITY</t>
  </si>
  <si>
    <t>CUSTOMER  PHONE</t>
  </si>
  <si>
    <t>CUSTOMER  EMAIL</t>
  </si>
  <si>
    <t>CUSTOMER  POP UP NOTES</t>
  </si>
  <si>
    <t>CUSTOMER  NAME</t>
  </si>
  <si>
    <t>CUSTOMER  PROVINCE</t>
  </si>
  <si>
    <t>CUSTOMER  EXT</t>
  </si>
  <si>
    <t>CUSTOMER  NOTIFY</t>
  </si>
  <si>
    <t>CUSTOMER  POSTAL CODE</t>
  </si>
  <si>
    <t>BILL TO  CODE</t>
  </si>
  <si>
    <t>BILL TO  ADDRESS LINE</t>
  </si>
  <si>
    <t>BILL TO  UNIT / SUITE #</t>
  </si>
  <si>
    <t>BILL TO  CITY</t>
  </si>
  <si>
    <t>BILL TO  PHONE</t>
  </si>
  <si>
    <t>BILL TO  EMAIL</t>
  </si>
  <si>
    <t>BILL TO  POP UP NOTES</t>
  </si>
  <si>
    <t>BILL TO  NAME</t>
  </si>
  <si>
    <t>BILL TO  POSTAL CODE</t>
  </si>
  <si>
    <t>BILL TO  PROVINCE</t>
  </si>
  <si>
    <t>BILL TO  EXT</t>
  </si>
  <si>
    <t>BILL TO  NOTIFY</t>
  </si>
  <si>
    <t>OTHER  CODE</t>
  </si>
  <si>
    <t>OTHER  ADDRESS LINE</t>
  </si>
  <si>
    <t>OTHER  UNIT / SUITE #</t>
  </si>
  <si>
    <t>OTHER  CITY</t>
  </si>
  <si>
    <t>OTHER  PHONE</t>
  </si>
  <si>
    <t>OTHER  EMAIL</t>
  </si>
  <si>
    <t>OTHER  POP UP NOTES</t>
  </si>
  <si>
    <t>OTHER  NAME</t>
  </si>
  <si>
    <t>OTHER  PROVINCE</t>
  </si>
  <si>
    <t>OTHER  EXT</t>
  </si>
  <si>
    <t>OTHER  NOTIFY</t>
  </si>
  <si>
    <t>OTHER  POSTAL CODE</t>
  </si>
  <si>
    <t>SHIPPER  NAME</t>
  </si>
  <si>
    <t>SHIPPER  ADDRESS LINE</t>
  </si>
  <si>
    <t>SHIPPER  UNIT / SUITE #</t>
  </si>
  <si>
    <t>SHIPPER  CITY</t>
  </si>
  <si>
    <t>SHIPPER  PHONE</t>
  </si>
  <si>
    <t>SHIPPER  EMAIL</t>
  </si>
  <si>
    <t>SHIPPER  PICK UP DATE START</t>
  </si>
  <si>
    <t>SHIPPER  PICK UP DATE END</t>
  </si>
  <si>
    <t>SHIPPER  SPOT</t>
  </si>
  <si>
    <t>SHIPPER  START ZONE</t>
  </si>
  <si>
    <t>SHIPPER  POP UP NOTES</t>
  </si>
  <si>
    <t>SHIPPER  ADDRESS TYPE</t>
  </si>
  <si>
    <t>SHIPPER  PROVINCE</t>
  </si>
  <si>
    <t>SHIPPER  EXT</t>
  </si>
  <si>
    <t>SHIPPER  NOTIFY</t>
  </si>
  <si>
    <t>SHIPPER  PICK UP START TIME</t>
  </si>
  <si>
    <t>SHIPPER  PICK UP END TIME</t>
  </si>
  <si>
    <t>SHIPPER  APPT REQUIRED</t>
  </si>
  <si>
    <t>SHIPPER  POSTAL CODE</t>
  </si>
  <si>
    <t>SHIPPER  APPT MADE</t>
  </si>
  <si>
    <t>REFERENCE NUMBERS  CUSTOMER REFERENCE NUMBER</t>
  </si>
  <si>
    <t>REFERENCE NUMBERS  OTHER</t>
  </si>
  <si>
    <t>REFERENCE NUMBERS  REQUIRED ARRIVAL DATE (RAD)</t>
  </si>
  <si>
    <t>REFERENCE NUMBERS  PURCHASE ORDER (PO)</t>
  </si>
  <si>
    <t>REFERENCE NUMBERS  PICK-UP NUMBER</t>
  </si>
  <si>
    <t>REFERENCE NUMBERS  LOAD CONFIRMATION NUMBER</t>
  </si>
  <si>
    <t>REFERENCE NUMBERS  CARGO CONTROL (CCN)</t>
  </si>
  <si>
    <t>REFERENCE NUMBERS  JOB NUMBER</t>
  </si>
  <si>
    <t>PICK UP  EQUIPMENT TYPE</t>
  </si>
  <si>
    <t>PICK UP  INSIDE PICK UP</t>
  </si>
  <si>
    <t>PICK UP  SHIPPING INSTRUCTIONS</t>
  </si>
  <si>
    <t>PICK UP  POWER TAILGATE (PTG)</t>
  </si>
  <si>
    <t>PICK UP  PALLET JACK</t>
  </si>
  <si>
    <t>DELIVERY  EQUIPMENT TYPE</t>
  </si>
  <si>
    <t>DELIVERY  INSIDE DELIVERY</t>
  </si>
  <si>
    <t>DELIVERY  SHIPPING INSTRUCTIONS</t>
  </si>
  <si>
    <t>DELIVERY  POWER TAILGATE (PTG)</t>
  </si>
  <si>
    <t>DELIVERY  PALLET JACK</t>
  </si>
  <si>
    <t>CREDIT CARD PAYMENT INFORMATION  FREIGHT CHARGE</t>
  </si>
  <si>
    <t>CREDIT CARD PAYMENT INFORMATION  FSC &amp; ACCESSORIAL CHARGES</t>
  </si>
  <si>
    <t>CREDIT CARD PAYMENT INFORMATION  TAX 1</t>
  </si>
  <si>
    <t>CREDIT CARD PAYMENT INFORMATION  TOTAL</t>
  </si>
  <si>
    <t>CREDIT CARD PAYMENT INFORMATION  CC PAYMENT STATUS</t>
  </si>
  <si>
    <t>CREDIT CARD PAYMENT INFORMATION  PAYMENT RECEIVED $</t>
  </si>
  <si>
    <t>CONSIGNEE  NAME</t>
  </si>
  <si>
    <t>CONSIGNEE  ADDRESS LINE</t>
  </si>
  <si>
    <t>CONSIGNEE  UNIT / SUITE #</t>
  </si>
  <si>
    <t>CONSIGNEE  CITY</t>
  </si>
  <si>
    <t>CONSIGNEE  PHONE</t>
  </si>
  <si>
    <t>CONSIGNEE  EMAIL</t>
  </si>
  <si>
    <t>CONSIGNEE  DELIVERY DATE START</t>
  </si>
  <si>
    <t>CONSIGNEE  DELIVERY DATE END</t>
  </si>
  <si>
    <t>CONSIGNEE  DROP</t>
  </si>
  <si>
    <t>CONSIGNEE  END ZONE</t>
  </si>
  <si>
    <t>CONSIGNEE  POP UP NOTES</t>
  </si>
  <si>
    <t>CONSIGNEE  PROVINCE</t>
  </si>
  <si>
    <t>CONSIGNEE  EXT</t>
  </si>
  <si>
    <t>CONSIGNEE  NOTIFY</t>
  </si>
  <si>
    <t>CONSIGNEE  DELIVERY START TIME</t>
  </si>
  <si>
    <t>CONSIGNEE  DELIVERY END TIME</t>
  </si>
  <si>
    <t>CONSIGNEE  APPT REQUIRED</t>
  </si>
  <si>
    <t>CONSIGNEE  POSTAL CODE</t>
  </si>
  <si>
    <t>CONSIGNEE  APPT MADE</t>
  </si>
  <si>
    <t>FREIGHT DESCRIPTION  SERVICE LEVEL</t>
  </si>
  <si>
    <t>FREIGHT DESCRIPTION  PIECES</t>
  </si>
  <si>
    <t>FREIGHT DESCRIPTION  WEIGHT (LBS)</t>
  </si>
  <si>
    <t>FREIGHT DESCRIPTION  DIMENSIONS (INCHES)</t>
  </si>
  <si>
    <t xml:space="preserve">FREIGHT DESCRIPTION  DIMENSIONS (INCHES) L </t>
  </si>
  <si>
    <t>FREIGHT DESCRIPTION  DIMENSIONS (INCHES) W</t>
  </si>
  <si>
    <t>FREIGHT DESCRIPTION  DIMENSIONS (INCHES) H</t>
  </si>
  <si>
    <t>FREIGHT DESCRIPTION  PIECES UNIT</t>
  </si>
  <si>
    <t>FREIGHT DESCRIPTION  DANGEROUS GOODS (DG)</t>
  </si>
  <si>
    <t>FREIGHT DESCRIPTION  SHIPPER'S LOAD AND COUNT (SLC)</t>
  </si>
  <si>
    <t>FREIGHT DESCRIPTION  HEAT REQUIREMENT</t>
  </si>
  <si>
    <t>FREIGHT DESCRIPTION  SAID TO CONTAIN (STC)</t>
  </si>
  <si>
    <t>FREIGHT DESCRIPTION  COMMODITY</t>
  </si>
  <si>
    <t>FREIGHT DESCRIPTION  SKIDS SPOTS (SKS)</t>
  </si>
  <si>
    <t>FREIGHT DESCRIPTION  UN NUMBER (DG)</t>
  </si>
  <si>
    <t>FREIGHT DESCRIPTION  DESCRIPTION</t>
  </si>
  <si>
    <t>FREIGHT DESCRIPTION  DECLARED VALUE</t>
  </si>
  <si>
    <t>FREIGHT DESCRIPTION  $ AMOUNT</t>
  </si>
  <si>
    <t>CONSIGNEE  ADDRESS TYPE</t>
  </si>
  <si>
    <t>FREIGHT DESCRIPTION TOTAL WEIGHT</t>
  </si>
  <si>
    <t>ORDER PARKED</t>
  </si>
  <si>
    <t>NOT APPLICABLE</t>
  </si>
  <si>
    <t>ORDER UPDATED</t>
  </si>
  <si>
    <t>CREDIT STATUS</t>
  </si>
  <si>
    <t>PICK UP START DATE</t>
  </si>
  <si>
    <t>PICK UP END DATE</t>
  </si>
  <si>
    <t>DELIVERY START DATE</t>
  </si>
  <si>
    <t>DELIVERY END DATE</t>
  </si>
  <si>
    <t>REASON FOR PARKING ORDER</t>
  </si>
  <si>
    <t>QTY</t>
  </si>
  <si>
    <t>SEND INVOICE TO - EMAIL ADDRESS</t>
  </si>
  <si>
    <t>LTL ORDER MANAGEMENT FORM - SINGLE NEW FB</t>
  </si>
  <si>
    <t>FB #</t>
  </si>
  <si>
    <t>TYPE OF FB</t>
  </si>
  <si>
    <t>FB PREFIX</t>
  </si>
  <si>
    <t>WHEN UPDATE ORDER IS CLICKED, SEND THE INVOICE TO EMAIL ADDRESS PROVIDED ABOVE</t>
  </si>
  <si>
    <t>RESET</t>
  </si>
  <si>
    <t>*Please note green fields need to be free form incase a code does not exist</t>
  </si>
  <si>
    <t>FRIEGHT OF ALL KIND</t>
  </si>
  <si>
    <t>* ADD ADDITIONAL BOXES, IF "ADD MORE (+)" BUTTON IS CLICKED - THIS WILL NEED TO BE BY BOX, NOT THE WHOLE LINE</t>
  </si>
  <si>
    <t>SDS</t>
  </si>
  <si>
    <t xml:space="preserve"> QUOTE (OPTIONAL)</t>
  </si>
  <si>
    <t xml:space="preserve"> TYPE OF FB</t>
  </si>
  <si>
    <t xml:space="preserve"> FB PREFIX</t>
  </si>
  <si>
    <t xml:space="preserve"> BILL TO</t>
  </si>
  <si>
    <t xml:space="preserve"> CREDIT CARD</t>
  </si>
  <si>
    <t xml:space="preserve"> CURRENCY</t>
  </si>
  <si>
    <t>CALLER CODE</t>
  </si>
  <si>
    <t>CALLER ADDRESS LINE</t>
  </si>
  <si>
    <t>CALLER UNIT / SUITE #</t>
  </si>
  <si>
    <t>CALLER CITY</t>
  </si>
  <si>
    <t>CALLER PHONE</t>
  </si>
  <si>
    <t>CALLER EMAIL</t>
  </si>
  <si>
    <t>CALLER POP UP NOTES</t>
  </si>
  <si>
    <t>CALLER NAME</t>
  </si>
  <si>
    <t>CALLER PROVINCE</t>
  </si>
  <si>
    <t>CALLER EXT</t>
  </si>
  <si>
    <t>CALLER NOTIFY</t>
  </si>
  <si>
    <t>CALLER POSTAL CODE</t>
  </si>
  <si>
    <t>BILL TO CODE</t>
  </si>
  <si>
    <t>BILL TO ADDRESS LINE</t>
  </si>
  <si>
    <t>BILL TO UNIT / SUITE #</t>
  </si>
  <si>
    <t>BILL TO CITY</t>
  </si>
  <si>
    <t>BILL TO PHONE</t>
  </si>
  <si>
    <t>BILL TO EMAIL</t>
  </si>
  <si>
    <t>BILL TO POP UP NOTES</t>
  </si>
  <si>
    <t>BILL TO PROVINCE</t>
  </si>
  <si>
    <t>BILL TO EXT</t>
  </si>
  <si>
    <t>BILL TO NOTIFY</t>
  </si>
  <si>
    <t>BILL TO NAME</t>
  </si>
  <si>
    <t>BILL TO POSTAL CODE</t>
  </si>
  <si>
    <t>OTHER CODE</t>
  </si>
  <si>
    <t>OTHER ADDRESS LINE</t>
  </si>
  <si>
    <t>OTHER UNIT / SUITE #</t>
  </si>
  <si>
    <t>OTHER CITY</t>
  </si>
  <si>
    <t>OTHER PHONE</t>
  </si>
  <si>
    <t>OTHER EMAIL</t>
  </si>
  <si>
    <t>OTHER POP UP NOTES</t>
  </si>
  <si>
    <t>OTHER PROVINCE</t>
  </si>
  <si>
    <t>OTHER EXT</t>
  </si>
  <si>
    <t>OTHER NOTIFY</t>
  </si>
  <si>
    <t>OTHER NAME</t>
  </si>
  <si>
    <t>OTHER POSTAL CODE</t>
  </si>
  <si>
    <t>OTHER CREDIT STATUS</t>
  </si>
  <si>
    <t>SHIPPER SHIPPER CODE</t>
  </si>
  <si>
    <t>SHIPPER NAME</t>
  </si>
  <si>
    <t>SHIPPER ADDRESS LINE</t>
  </si>
  <si>
    <t>SHIPPER UNIT / SUITE #</t>
  </si>
  <si>
    <t>SHIPPER CITY</t>
  </si>
  <si>
    <t>SHIPPER PHONE</t>
  </si>
  <si>
    <t>SHIPPER EMAIL</t>
  </si>
  <si>
    <t>SHIPPER PICK UP START DATE</t>
  </si>
  <si>
    <t>SHIPPER PICK UP END DATE</t>
  </si>
  <si>
    <t>SHIPPER SPOT</t>
  </si>
  <si>
    <t>SHIPPER START ZONE</t>
  </si>
  <si>
    <t>SHIPPER POP UP NOTES</t>
  </si>
  <si>
    <t>SHIPPER PROVINCE</t>
  </si>
  <si>
    <t>SHIPPER EXT</t>
  </si>
  <si>
    <t>SHIPPER NOTIFY</t>
  </si>
  <si>
    <t>SHIPPER PICK UP START TIME</t>
  </si>
  <si>
    <t>SHIPPER PICK UP END TIME</t>
  </si>
  <si>
    <t>SHIPPER APPT REQUIRED</t>
  </si>
  <si>
    <t>SHIPPER ADDRESS TYPE</t>
  </si>
  <si>
    <t>SHIPPER POSTAL CODE</t>
  </si>
  <si>
    <t>SHIPPER APPT MADE</t>
  </si>
  <si>
    <t>CONSIGNEE CONSIGNEE CODE</t>
  </si>
  <si>
    <t>CONSIGNEE NAME</t>
  </si>
  <si>
    <t>CONSIGNEE ADDRESS LINE</t>
  </si>
  <si>
    <t>CONSIGNEE UNIT / SUITE #</t>
  </si>
  <si>
    <t>CONSIGNEE CITY</t>
  </si>
  <si>
    <t>CONSIGNEE PHONE</t>
  </si>
  <si>
    <t>CONSIGNEE EMAIL</t>
  </si>
  <si>
    <t>CONSIGNEE DELIVERY START DATE</t>
  </si>
  <si>
    <t>CONSIGNEE DELIVERY END DATE</t>
  </si>
  <si>
    <t>CONSIGNEE DROP</t>
  </si>
  <si>
    <t>CONSIGNEE END ZONE</t>
  </si>
  <si>
    <t>CONSIGNEE POP UP NOTES</t>
  </si>
  <si>
    <t>CONSIGNEE PROVINCE</t>
  </si>
  <si>
    <t>CONSIGNEE EXT</t>
  </si>
  <si>
    <t>CONSIGNEE NOTIFY</t>
  </si>
  <si>
    <t>CONSIGNEE DELIVERY START TIME</t>
  </si>
  <si>
    <t>CONSIGNEE DELIVERY END TIME</t>
  </si>
  <si>
    <t>CONSIGNEE APPT REQUIRED</t>
  </si>
  <si>
    <t>CONSIGNEE ADDRESS TYPE</t>
  </si>
  <si>
    <t>CONSIGNEE POSTAL CODE</t>
  </si>
  <si>
    <t>CONSIGNEE APPT MADE</t>
  </si>
  <si>
    <t>FREIGHT DESCRIPTION SERVICE LEVEL</t>
  </si>
  <si>
    <t>FREIGHT DESCRIPTION PIECES</t>
  </si>
  <si>
    <t>FREIGHT DESCRIPTION DIMENSIONS (INCHES)</t>
  </si>
  <si>
    <t>FREIGHT DESCRIPTION DIMENSIONS (INCHES) L</t>
  </si>
  <si>
    <t xml:space="preserve">FREIGHT DESCRIPTION DIMENSIONS (INCHES) W </t>
  </si>
  <si>
    <t>FREIGHT DESCRIPTION DIMENSIONS (INCHES) H</t>
  </si>
  <si>
    <t>FREIGHT DESCRIPTION SHIPPER'S LOAD AND COUNT (SLC)</t>
  </si>
  <si>
    <t>FREIGHT DESCRIPTION HEAT REQUIREMENT</t>
  </si>
  <si>
    <t>FREIGHT DESCRIPTION PIECES UNIT</t>
  </si>
  <si>
    <t>FREIGHT DESCRIPTION SAID TO CONTAIN (STC)</t>
  </si>
  <si>
    <t>FREIGHT DESCRIPTION DANGEROUS GOODS (DG)</t>
  </si>
  <si>
    <t>FREIGHT DESCRIPTION COMMODITY</t>
  </si>
  <si>
    <t>FREIGHT DESCRIPTION SKIDS SPOTS (SKS)</t>
  </si>
  <si>
    <t>FREIGHT DESCRIPTION UN NUMBER (DG)</t>
  </si>
  <si>
    <t>FREIGHT DESCRIPTION DESCRIPTION</t>
  </si>
  <si>
    <t>FREIGHT DESCRIPTION DECLARED VALUE</t>
  </si>
  <si>
    <t>FREIGHT DESCRIPTION WEIGHT (LBS)</t>
  </si>
  <si>
    <t>FREIGHT DESCRIPTION AMOUNT</t>
  </si>
  <si>
    <t>REFERENCE NUMBERS CUSTOMER REFERENCE NUMBER</t>
  </si>
  <si>
    <t>REFERENCE NUMBERS OTHER</t>
  </si>
  <si>
    <t>REFERENCE NUMBERS PURCHASE ORDER (PO)</t>
  </si>
  <si>
    <t>REFERENCE NUMBERS REQUIRED ARRIVAL DATE (RAD)</t>
  </si>
  <si>
    <t>REFERENCE NUMBERS PICK-UP NUMBER</t>
  </si>
  <si>
    <t>REFERENCE NUMBERS LOAD CONFIRMATION NUMBER</t>
  </si>
  <si>
    <t>REFERENCE NUMBERS CARGO CONTROL (CCN)</t>
  </si>
  <si>
    <t>REFERENCE NUMBERS JOB NUMBER</t>
  </si>
  <si>
    <t>REQUESTED EQUIPMENT FOR PICK UP EQUIPMENT TYPE</t>
  </si>
  <si>
    <t>REQUESTED EQUIPMENT FOR PICK UP INSIDE PICK UP</t>
  </si>
  <si>
    <t>REQUESTED EQUIPMENT FOR PICK UP SHIPPING INSTRUCTIONS</t>
  </si>
  <si>
    <t>REQUESTED EQUIPMENT FOR PICK UP POWER TAILGATE (PTG)</t>
  </si>
  <si>
    <t>REQUESTED EQUIPMENT FOR PICK UP PALLET JACK</t>
  </si>
  <si>
    <t>REQUESTED EQUIPMENT FOR DELIVERY EQUIPMENT TYPE</t>
  </si>
  <si>
    <t>REQUESTED EQUIPMENT FOR DELIVERY INSIDE DELIVERY</t>
  </si>
  <si>
    <t>REQUESTED EQUIPMENT FOR DELIVERY SHIPPING INSTRUCTIONS</t>
  </si>
  <si>
    <t>REQUESTED EQUIPMENT FOR DELIVERY POWER TAILGATE (PTG)</t>
  </si>
  <si>
    <t>REQUESTED EQUIPMENT FOR DELIVERY PALLET JACK</t>
  </si>
  <si>
    <t xml:space="preserve"> FB NOTES</t>
  </si>
  <si>
    <t xml:space="preserve"> NOTES</t>
  </si>
  <si>
    <t xml:space="preserve"> REASON FOR PARKING ORDER</t>
  </si>
  <si>
    <t xml:space="preserve"> FB #</t>
  </si>
  <si>
    <t>CREDIT CARD PAYMENT INFORMATION FREIGHT CHARGE</t>
  </si>
  <si>
    <t>CREDIT CARD PAYMENT INFORMATION FSC &amp; ACCESSORIAL CHARGES</t>
  </si>
  <si>
    <t>CREDIT CARD PAYMENT INFORMATION TAX 1</t>
  </si>
  <si>
    <t>CREDIT CARD PAYMENT INFORMATION TOTAL</t>
  </si>
  <si>
    <t xml:space="preserve"> CC PAYMENT STATUS</t>
  </si>
  <si>
    <t xml:space="preserve"> PAYMENT RECEIVED $</t>
  </si>
  <si>
    <t xml:space="preserve"> SEND INVOICE TO - EMAIL ADDRESS</t>
  </si>
  <si>
    <t>SDSD</t>
  </si>
  <si>
    <t xml:space="preserve"> SDS</t>
  </si>
  <si>
    <t>ADSS</t>
  </si>
  <si>
    <t>SD</t>
  </si>
  <si>
    <t>JJJJ</t>
  </si>
  <si>
    <t>JHK</t>
  </si>
  <si>
    <t>KJKK</t>
  </si>
  <si>
    <t>HKK</t>
  </si>
  <si>
    <t>IGK</t>
  </si>
  <si>
    <t>sds</t>
  </si>
  <si>
    <t>sadsd</t>
  </si>
  <si>
    <t>dsdsds</t>
  </si>
  <si>
    <t>asas</t>
  </si>
  <si>
    <t>asasa</t>
  </si>
  <si>
    <t>asa</t>
  </si>
  <si>
    <t>xcxcq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</si>
</sst>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b/>
      <sz val="18"/>
      <color rgb="FF284E7A"/>
      <name val="Calibri"/>
      <family val="2"/>
    </font>
    <font>
      <i/>
      <sz val="11"/>
      <color rgb="FF666666"/>
      <name val="Calibri"/>
      <family val="2"/>
    </font>
    <font>
      <b/>
      <sz val="10"/>
      <color rgb="FF284E7A"/>
      <name val="Calibri"/>
      <family val="2"/>
    </font>
    <font>
      <b/>
      <sz val="12"/>
      <color rgb="FF284E7A"/>
      <name val="Calibri"/>
      <family val="2"/>
    </font>
    <font>
      <sz val="11"/>
      <name val="Calibri"/>
      <family val="2"/>
    </font>
    <font>
      <b/>
      <sz val="11"/>
      <color rgb="FF284E7A"/>
      <name val="Calibri"/>
      <family val="2"/>
    </font>
    <font>
      <b/>
      <sz val="10"/>
      <color rgb="FF284E7A"/>
      <name val="Calibri"/>
      <family val="2"/>
    </font>
    <font>
      <b/>
      <sz val="12"/>
      <color rgb="FF284E7A"/>
      <name val="Calibri"/>
      <family val="2"/>
    </font>
    <font>
      <i/>
      <sz val="11"/>
      <color rgb="FF666666"/>
      <name val="Calibri"/>
      <family val="2"/>
    </font>
    <font>
      <sz val="11"/>
      <color theme="3" tint="0.59999389629810485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theme="3" tint="0.59999389629810485"/>
      <name val="Calibri"/>
      <family val="2"/>
      <scheme val="minor"/>
    </font>
    <font>
      <sz val="9"/>
      <color indexed="10"/>
      <name val="Tahoma"/>
      <family val="2"/>
    </font>
    <font>
      <b/>
      <sz val="11"/>
      <color rgb="FF284E7A"/>
      <name val="Calibri"/>
      <family val="2"/>
      <scheme val="minor"/>
    </font>
    <font>
      <b/>
      <sz val="12"/>
      <color rgb="FFFF0000"/>
      <name val="Calibri"/>
      <family val="2"/>
    </font>
    <font>
      <b/>
      <sz val="12"/>
      <color theme="0"/>
      <name val="Calibri"/>
      <family val="2"/>
    </font>
    <font>
      <b/>
      <sz val="10"/>
      <color rgb="FF00B0F0"/>
      <name val="Calibri"/>
      <family val="2"/>
    </font>
    <font>
      <i/>
      <sz val="11"/>
      <color theme="5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339966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2"/>
      <color rgb="FF284E7A"/>
      <name val="Calibri"/>
      <family val="2"/>
    </font>
    <font>
      <b/>
      <sz val="10"/>
      <color rgb="FF284E7A"/>
      <name val="Calibri"/>
      <family val="2"/>
      <scheme val="minor"/>
    </font>
    <font>
      <b/>
      <sz val="10"/>
      <color rgb="FF00B050"/>
      <name val="Calibri"/>
      <family val="2"/>
    </font>
    <font>
      <b/>
      <sz val="11"/>
      <color rgb="FF0000FF"/>
      <name val="Calibri"/>
      <family val="2"/>
      <scheme val="minor"/>
    </font>
    <font>
      <b/>
      <sz val="10"/>
      <color rgb="FFFF00FF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D9EAF7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medium">
        <color rgb="FFC0C0C0"/>
      </left>
      <right style="thin">
        <color rgb="FFC0C0C0"/>
      </right>
      <top style="thin">
        <color rgb="FFC0C0C0"/>
      </top>
      <bottom style="medium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medium">
        <color rgb="FFC0C0C0"/>
      </bottom>
      <diagonal/>
    </border>
    <border>
      <left style="thin">
        <color rgb="FFC0C0C0"/>
      </left>
      <right style="medium">
        <color rgb="FFC0C0C0"/>
      </right>
      <top style="thin">
        <color rgb="FFC0C0C0"/>
      </top>
      <bottom style="medium">
        <color rgb="FFC0C0C0"/>
      </bottom>
      <diagonal/>
    </border>
    <border>
      <left style="medium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medium">
        <color rgb="FFC0C0C0"/>
      </right>
      <top style="thin">
        <color rgb="FFC0C0C0"/>
      </top>
      <bottom style="thin">
        <color rgb="FFC0C0C0"/>
      </bottom>
      <diagonal/>
    </border>
    <border>
      <left style="medium">
        <color rgb="FFC0C0C0"/>
      </left>
      <right style="thin">
        <color rgb="FFC0C0C0"/>
      </right>
      <top style="medium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medium">
        <color rgb="FFC0C0C0"/>
      </top>
      <bottom style="thin">
        <color rgb="FFC0C0C0"/>
      </bottom>
      <diagonal/>
    </border>
    <border>
      <left style="thin">
        <color rgb="FFC0C0C0"/>
      </left>
      <right style="medium">
        <color rgb="FFC0C0C0"/>
      </right>
      <top style="medium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medium">
        <color rgb="FFC0C0C0"/>
      </right>
      <top style="thin">
        <color rgb="FFC0C0C0"/>
      </top>
      <bottom/>
      <diagonal/>
    </border>
    <border>
      <left style="medium">
        <color rgb="FFC0C0C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medium">
        <color rgb="FFC0C0C0"/>
      </right>
      <top/>
      <bottom style="thin">
        <color rgb="FFC0C0C0"/>
      </bottom>
      <diagonal/>
    </border>
    <border>
      <left style="medium">
        <color rgb="FF00B0F0"/>
      </left>
      <right style="thin">
        <color rgb="FFC0C0C0"/>
      </right>
      <top style="medium">
        <color rgb="FF00B0F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medium">
        <color rgb="FF00B0F0"/>
      </top>
      <bottom style="thin">
        <color rgb="FFC0C0C0"/>
      </bottom>
      <diagonal/>
    </border>
    <border>
      <left style="thin">
        <color rgb="FFC0C0C0"/>
      </left>
      <right style="medium">
        <color rgb="FF00B0F0"/>
      </right>
      <top style="medium">
        <color rgb="FF00B0F0"/>
      </top>
      <bottom style="thin">
        <color rgb="FFC0C0C0"/>
      </bottom>
      <diagonal/>
    </border>
    <border>
      <left style="thin">
        <color rgb="FFC0C0C0"/>
      </left>
      <right style="medium">
        <color rgb="FF00B0F0"/>
      </right>
      <top style="thin">
        <color rgb="FFC0C0C0"/>
      </top>
      <bottom style="thin">
        <color rgb="FFC0C0C0"/>
      </bottom>
      <diagonal/>
    </border>
    <border>
      <left style="medium">
        <color rgb="FF00B0F0"/>
      </left>
      <right style="thin">
        <color rgb="FFC0C0C0"/>
      </right>
      <top style="thin">
        <color rgb="FFC0C0C0"/>
      </top>
      <bottom style="medium">
        <color rgb="FF00B0F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medium">
        <color rgb="FF00B0F0"/>
      </bottom>
      <diagonal/>
    </border>
    <border>
      <left style="thin">
        <color rgb="FFC0C0C0"/>
      </left>
      <right style="medium">
        <color rgb="FF00B0F0"/>
      </right>
      <top style="thin">
        <color rgb="FFC0C0C0"/>
      </top>
      <bottom style="medium">
        <color rgb="FF00B0F0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medium">
        <color rgb="FF00B0F0"/>
      </left>
      <right style="thin">
        <color rgb="FFC0C0C0"/>
      </right>
      <top style="thin">
        <color rgb="FFC0C0C0"/>
      </top>
      <bottom/>
      <diagonal/>
    </border>
    <border>
      <left style="medium">
        <color rgb="FF00B0F0"/>
      </left>
      <right style="thin">
        <color rgb="FFC0C0C0"/>
      </right>
      <top/>
      <bottom style="thin">
        <color rgb="FFC0C0C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thin">
        <color rgb="FFC0C0C0"/>
      </right>
      <top style="medium">
        <color rgb="FF00B050"/>
      </top>
      <bottom style="medium">
        <color rgb="FF00B050"/>
      </bottom>
      <diagonal/>
    </border>
    <border>
      <left style="thin">
        <color rgb="FFC0C0C0"/>
      </left>
      <right style="thin">
        <color rgb="FFC0C0C0"/>
      </right>
      <top style="medium">
        <color rgb="FF00B050"/>
      </top>
      <bottom style="medium">
        <color rgb="FF00B050"/>
      </bottom>
      <diagonal/>
    </border>
    <border>
      <left style="thin">
        <color rgb="FFC0C0C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FF00FF"/>
      </left>
      <right style="medium">
        <color rgb="FFFF00FF"/>
      </right>
      <top style="medium">
        <color rgb="FFFF00FF"/>
      </top>
      <bottom style="medium">
        <color rgb="FFFF00FF"/>
      </bottom>
      <diagonal/>
    </border>
    <border>
      <left style="medium">
        <color rgb="FFC0C0C0"/>
      </left>
      <right style="thin">
        <color rgb="FFC0C0C0"/>
      </right>
      <top style="medium">
        <color rgb="FFC0C0C0"/>
      </top>
      <bottom/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1" xfId="0" applyBorder="1"/>
    <xf numFmtId="0" fontId="6" fillId="2" borderId="1" xfId="0" applyFont="1" applyFill="1" applyBorder="1"/>
    <xf numFmtId="0" fontId="2" fillId="0" borderId="0" xfId="0" applyFont="1"/>
    <xf numFmtId="0" fontId="1" fillId="0" borderId="0" xfId="0" applyFont="1" applyAlignment="1">
      <alignment vertical="center"/>
    </xf>
    <xf numFmtId="0" fontId="7" fillId="0" borderId="1" xfId="0" applyFont="1" applyBorder="1"/>
    <xf numFmtId="0" fontId="3" fillId="0" borderId="0" xfId="0" applyFont="1"/>
    <xf numFmtId="0" fontId="9" fillId="0" borderId="0" xfId="0" applyFont="1"/>
    <xf numFmtId="0" fontId="0" fillId="3" borderId="1" xfId="0" applyFill="1" applyBorder="1"/>
    <xf numFmtId="0" fontId="0" fillId="0" borderId="6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7" fillId="0" borderId="1" xfId="0" applyFont="1" applyBorder="1"/>
    <xf numFmtId="0" fontId="17" fillId="0" borderId="5" xfId="0" applyFont="1" applyBorder="1"/>
    <xf numFmtId="0" fontId="14" fillId="0" borderId="0" xfId="0" applyFont="1"/>
    <xf numFmtId="0" fontId="0" fillId="0" borderId="1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21" fillId="0" borderId="0" xfId="0" applyFont="1"/>
    <xf numFmtId="0" fontId="24" fillId="5" borderId="0" xfId="0" applyFont="1" applyFill="1" applyAlignment="1">
      <alignment horizontal="center" vertical="center" wrapText="1"/>
    </xf>
    <xf numFmtId="0" fontId="28" fillId="0" borderId="1" xfId="0" applyFont="1" applyBorder="1"/>
    <xf numFmtId="0" fontId="28" fillId="0" borderId="3" xfId="0" applyFont="1" applyBorder="1"/>
    <xf numFmtId="0" fontId="28" fillId="6" borderId="3" xfId="0" applyFont="1" applyFill="1" applyBorder="1"/>
    <xf numFmtId="0" fontId="22" fillId="0" borderId="1" xfId="1" applyFill="1" applyBorder="1"/>
    <xf numFmtId="0" fontId="10" fillId="0" borderId="1" xfId="0" applyFont="1" applyBorder="1"/>
    <xf numFmtId="0" fontId="19" fillId="6" borderId="0" xfId="0" applyFont="1" applyFill="1" applyAlignment="1">
      <alignment vertical="center"/>
    </xf>
    <xf numFmtId="0" fontId="15" fillId="0" borderId="3" xfId="0" applyFont="1" applyBorder="1" applyAlignment="1">
      <alignment horizontal="center"/>
    </xf>
    <xf numFmtId="0" fontId="5" fillId="0" borderId="1" xfId="0" applyFont="1" applyBorder="1"/>
    <xf numFmtId="0" fontId="7" fillId="4" borderId="2" xfId="0" applyFont="1" applyFill="1" applyBorder="1"/>
    <xf numFmtId="0" fontId="28" fillId="0" borderId="6" xfId="0" applyFont="1" applyBorder="1"/>
    <xf numFmtId="0" fontId="7" fillId="4" borderId="1" xfId="0" applyFont="1" applyFill="1" applyBorder="1"/>
    <xf numFmtId="0" fontId="7" fillId="4" borderId="5" xfId="0" applyFont="1" applyFill="1" applyBorder="1"/>
    <xf numFmtId="0" fontId="7" fillId="7" borderId="2" xfId="0" applyFont="1" applyFill="1" applyBorder="1" applyAlignment="1">
      <alignment vertical="center"/>
    </xf>
    <xf numFmtId="0" fontId="7" fillId="7" borderId="5" xfId="0" applyFont="1" applyFill="1" applyBorder="1"/>
    <xf numFmtId="0" fontId="7" fillId="7" borderId="0" xfId="0" applyFont="1" applyFill="1"/>
    <xf numFmtId="0" fontId="7" fillId="3" borderId="5" xfId="0" applyFont="1" applyFill="1" applyBorder="1"/>
    <xf numFmtId="0" fontId="7" fillId="3" borderId="2" xfId="0" applyFont="1" applyFill="1" applyBorder="1"/>
    <xf numFmtId="0" fontId="17" fillId="3" borderId="1" xfId="0" applyFont="1" applyFill="1" applyBorder="1"/>
    <xf numFmtId="0" fontId="5" fillId="0" borderId="3" xfId="0" applyFont="1" applyBorder="1"/>
    <xf numFmtId="0" fontId="5" fillId="0" borderId="6" xfId="0" applyFont="1" applyBorder="1"/>
    <xf numFmtId="0" fontId="7" fillId="3" borderId="1" xfId="0" applyFont="1" applyFill="1" applyBorder="1"/>
    <xf numFmtId="0" fontId="3" fillId="3" borderId="5" xfId="0" applyFont="1" applyFill="1" applyBorder="1" applyAlignment="1">
      <alignment vertical="center"/>
    </xf>
    <xf numFmtId="0" fontId="3" fillId="4" borderId="0" xfId="0" applyFont="1" applyFill="1"/>
    <xf numFmtId="0" fontId="3" fillId="4" borderId="3" xfId="0" applyFont="1" applyFill="1" applyBorder="1"/>
    <xf numFmtId="0" fontId="3" fillId="3" borderId="5" xfId="0" applyFont="1" applyFill="1" applyBorder="1"/>
    <xf numFmtId="0" fontId="3" fillId="4" borderId="5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0" fontId="3" fillId="7" borderId="3" xfId="0" applyFont="1" applyFill="1" applyBorder="1"/>
    <xf numFmtId="0" fontId="3" fillId="7" borderId="2" xfId="0" applyFont="1" applyFill="1" applyBorder="1" applyAlignment="1">
      <alignment vertical="center"/>
    </xf>
    <xf numFmtId="0" fontId="3" fillId="7" borderId="5" xfId="0" applyFont="1" applyFill="1" applyBorder="1" applyAlignment="1">
      <alignment vertical="center"/>
    </xf>
    <xf numFmtId="18" fontId="23" fillId="0" borderId="1" xfId="0" applyNumberFormat="1" applyFont="1" applyBorder="1"/>
    <xf numFmtId="0" fontId="0" fillId="0" borderId="10" xfId="0" applyBorder="1"/>
    <xf numFmtId="0" fontId="0" fillId="0" borderId="10" xfId="0" applyBorder="1" applyAlignment="1">
      <alignment horizontal="right"/>
    </xf>
    <xf numFmtId="1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left"/>
    </xf>
    <xf numFmtId="0" fontId="27" fillId="0" borderId="1" xfId="0" applyFont="1" applyBorder="1"/>
    <xf numFmtId="0" fontId="32" fillId="4" borderId="1" xfId="0" applyFont="1" applyFill="1" applyBorder="1"/>
    <xf numFmtId="0" fontId="32" fillId="3" borderId="1" xfId="0" applyFont="1" applyFill="1" applyBorder="1"/>
    <xf numFmtId="0" fontId="17" fillId="7" borderId="3" xfId="0" applyFont="1" applyFill="1" applyBorder="1"/>
    <xf numFmtId="0" fontId="3" fillId="7" borderId="0" xfId="0" applyFont="1" applyFill="1"/>
    <xf numFmtId="0" fontId="17" fillId="0" borderId="11" xfId="0" applyFont="1" applyBorder="1"/>
    <xf numFmtId="0" fontId="0" fillId="0" borderId="12" xfId="0" applyBorder="1"/>
    <xf numFmtId="0" fontId="0" fillId="0" borderId="13" xfId="0" applyBorder="1"/>
    <xf numFmtId="0" fontId="17" fillId="0" borderId="14" xfId="0" applyFont="1" applyBorder="1"/>
    <xf numFmtId="0" fontId="0" fillId="0" borderId="15" xfId="0" applyBorder="1"/>
    <xf numFmtId="0" fontId="17" fillId="0" borderId="15" xfId="0" applyFont="1" applyBorder="1"/>
    <xf numFmtId="0" fontId="0" fillId="0" borderId="16" xfId="0" applyBorder="1"/>
    <xf numFmtId="0" fontId="20" fillId="0" borderId="0" xfId="0" applyFont="1" applyAlignment="1">
      <alignment horizontal="left"/>
    </xf>
    <xf numFmtId="0" fontId="3" fillId="4" borderId="17" xfId="0" applyFont="1" applyFill="1" applyBorder="1"/>
    <xf numFmtId="0" fontId="0" fillId="0" borderId="18" xfId="0" applyBorder="1"/>
    <xf numFmtId="0" fontId="3" fillId="4" borderId="18" xfId="0" applyFont="1" applyFill="1" applyBorder="1"/>
    <xf numFmtId="0" fontId="17" fillId="4" borderId="18" xfId="0" applyFont="1" applyFill="1" applyBorder="1"/>
    <xf numFmtId="0" fontId="0" fillId="0" borderId="20" xfId="0" applyBorder="1"/>
    <xf numFmtId="0" fontId="3" fillId="4" borderId="21" xfId="0" applyFont="1" applyFill="1" applyBorder="1"/>
    <xf numFmtId="0" fontId="0" fillId="0" borderId="22" xfId="0" applyBorder="1"/>
    <xf numFmtId="0" fontId="3" fillId="7" borderId="22" xfId="0" applyFont="1" applyFill="1" applyBorder="1"/>
    <xf numFmtId="0" fontId="15" fillId="0" borderId="22" xfId="0" applyFont="1" applyBorder="1" applyAlignment="1">
      <alignment horizontal="center"/>
    </xf>
    <xf numFmtId="0" fontId="0" fillId="0" borderId="23" xfId="0" applyBorder="1"/>
    <xf numFmtId="0" fontId="17" fillId="0" borderId="25" xfId="0" applyFont="1" applyBorder="1"/>
    <xf numFmtId="0" fontId="0" fillId="0" borderId="12" xfId="0" applyBorder="1" applyAlignment="1">
      <alignment horizontal="center"/>
    </xf>
    <xf numFmtId="0" fontId="17" fillId="0" borderId="26" xfId="0" applyFont="1" applyBorder="1"/>
    <xf numFmtId="0" fontId="3" fillId="7" borderId="27" xfId="0" applyFont="1" applyFill="1" applyBorder="1"/>
    <xf numFmtId="0" fontId="33" fillId="0" borderId="24" xfId="0" applyFont="1" applyBorder="1" applyAlignment="1">
      <alignment horizontal="left"/>
    </xf>
    <xf numFmtId="0" fontId="15" fillId="0" borderId="28" xfId="0" applyFont="1" applyBorder="1" applyAlignment="1">
      <alignment horizontal="center"/>
    </xf>
    <xf numFmtId="0" fontId="15" fillId="0" borderId="29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0" fillId="4" borderId="1" xfId="0" applyFill="1" applyBorder="1"/>
    <xf numFmtId="0" fontId="17" fillId="4" borderId="1" xfId="0" applyFont="1" applyFill="1" applyBorder="1"/>
    <xf numFmtId="0" fontId="34" fillId="9" borderId="31" xfId="0" applyFont="1" applyFill="1" applyBorder="1" applyAlignment="1">
      <alignment horizontal="center"/>
    </xf>
    <xf numFmtId="0" fontId="0" fillId="0" borderId="24" xfId="0" applyBorder="1"/>
    <xf numFmtId="0" fontId="7" fillId="0" borderId="14" xfId="0" applyFont="1" applyBorder="1"/>
    <xf numFmtId="0" fontId="3" fillId="7" borderId="32" xfId="0" applyFont="1" applyFill="1" applyBorder="1"/>
    <xf numFmtId="0" fontId="35" fillId="0" borderId="0" xfId="0" applyFont="1" applyAlignment="1">
      <alignment horizontal="left"/>
    </xf>
    <xf numFmtId="0" fontId="7" fillId="0" borderId="12" xfId="0" applyFont="1" applyBorder="1"/>
    <xf numFmtId="0" fontId="32" fillId="4" borderId="3" xfId="0" applyFont="1" applyFill="1" applyBorder="1"/>
    <xf numFmtId="0" fontId="4" fillId="2" borderId="7" xfId="0" applyFont="1" applyFill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0" fontId="5" fillId="0" borderId="1" xfId="0" applyFont="1" applyBorder="1"/>
    <xf numFmtId="0" fontId="0" fillId="0" borderId="1" xfId="0" applyBorder="1"/>
    <xf numFmtId="0" fontId="4" fillId="2" borderId="33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2" borderId="8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8" fillId="8" borderId="8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3" xfId="0" applyFill="1" applyBorder="1"/>
    <xf numFmtId="0" fontId="5" fillId="0" borderId="1" xfId="0" applyFont="1" applyFill="1" applyBorder="1"/>
    <xf numFmtId="14" fontId="23" fillId="0" borderId="1" xfId="0" applyNumberFormat="1" applyFont="1" applyFill="1" applyBorder="1"/>
    <xf numFmtId="0" fontId="10" fillId="0" borderId="1" xfId="0" applyFont="1" applyFill="1" applyBorder="1"/>
    <xf numFmtId="0" fontId="0" fillId="0" borderId="6" xfId="0" applyFill="1" applyBorder="1"/>
    <xf numFmtId="0" fontId="15" fillId="0" borderId="18" xfId="0" applyFont="1" applyFill="1" applyBorder="1" applyAlignment="1">
      <alignment horizontal="center"/>
    </xf>
    <xf numFmtId="0" fontId="0" fillId="0" borderId="18" xfId="0" applyFill="1" applyBorder="1"/>
    <xf numFmtId="0" fontId="0" fillId="0" borderId="22" xfId="0" applyFill="1" applyBorder="1"/>
    <xf numFmtId="0" fontId="0" fillId="0" borderId="19" xfId="0" applyFill="1" applyBorder="1"/>
  </cellXfs>
  <cellStyles count="2">
    <cellStyle name="Hyperlink" xfId="1" builtinId="8"/>
    <cellStyle name="Normal" xfId="0" builtinId="0"/>
  </cellStyles>
  <dxfs count="61"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  <dxf>
      <fill>
        <patternFill patternType="solid">
          <fgColor rgb="FFFDEDEE"/>
        </patternFill>
      </fill>
    </dxf>
  </dxfs>
  <tableStyles count="0" defaultTableStyle="TableStyleMedium9" defaultPivotStyle="PivotStyleLight16"/>
  <colors>
    <mruColors>
      <color rgb="FFFFF2CC"/>
      <color rgb="FFFF00FF"/>
      <color rgb="FFC0C0C0"/>
      <color rgb="FF284E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137160</xdr:colOff>
      <xdr:row>5</xdr:row>
      <xdr:rowOff>45720</xdr:rowOff>
    </xdr:from>
    <xdr:to>
      <xdr:col>4</xdr:col>
      <xdr:colOff>284668</xdr:colOff>
      <xdr:row>7</xdr:row>
      <xdr:rowOff>54101</xdr:rowOff>
    </xdr:to>
    <xdr:sp macro="" textlink="">
      <xdr:nvSpPr>
        <xdr:cNvPr id="2" name="TextBox 13">
          <a:extLst>
            <a:ext uri="{FF2B5EF4-FFF2-40B4-BE49-F238E27FC236}">
              <a16:creationId xmlns:a16="http://schemas.microsoft.com/office/drawing/2014/main" id="{F348A52E-00D7-4E5B-2546-B3A2D49F9674}"/>
            </a:ext>
          </a:extLst>
        </xdr:cNvPr>
        <xdr:cNvSpPr txBox="1"/>
      </xdr:nvSpPr>
      <xdr:spPr>
        <a:xfrm>
          <a:off x="746760" y="960120"/>
          <a:ext cx="1976308" cy="374141"/>
        </a:xfrm>
        <a:prstGeom prst="rect">
          <a:avLst/>
        </a:prstGeom>
        <a:solidFill>
          <a:schemeClr val="tx1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/>
        </a:sp3d>
      </xdr:spPr>
      <xdr:txBody>
        <a:bodyPr wrap="square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New Order </a:t>
          </a:r>
        </a:p>
      </xdr:txBody>
    </xdr:sp>
    <xdr:clientData/>
  </xdr:twoCellAnchor>
  <xdr:twoCellAnchor>
    <xdr:from>
      <xdr:col>5</xdr:col>
      <xdr:colOff>121920</xdr:colOff>
      <xdr:row>5</xdr:row>
      <xdr:rowOff>38100</xdr:rowOff>
    </xdr:from>
    <xdr:to>
      <xdr:col>8</xdr:col>
      <xdr:colOff>269428</xdr:colOff>
      <xdr:row>7</xdr:row>
      <xdr:rowOff>46481</xdr:rowOff>
    </xdr:to>
    <xdr:sp macro="" textlink="">
      <xdr:nvSpPr>
        <xdr:cNvPr id="3" name="TextBox 13">
          <a:extLst>
            <a:ext uri="{FF2B5EF4-FFF2-40B4-BE49-F238E27FC236}">
              <a16:creationId xmlns:a16="http://schemas.microsoft.com/office/drawing/2014/main" id="{C215EB9D-ED31-4B24-9E97-9175D220EE83}"/>
            </a:ext>
          </a:extLst>
        </xdr:cNvPr>
        <xdr:cNvSpPr txBox="1"/>
      </xdr:nvSpPr>
      <xdr:spPr>
        <a:xfrm>
          <a:off x="3169920" y="952500"/>
          <a:ext cx="1976308" cy="374141"/>
        </a:xfrm>
        <a:prstGeom prst="rect">
          <a:avLst/>
        </a:prstGeom>
        <a:solidFill>
          <a:schemeClr val="tx1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/>
        </a:sp3d>
      </xdr:spPr>
      <xdr:txBody>
        <a:bodyPr wrap="square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/>
            <a:t>Existing Order </a:t>
          </a:r>
        </a:p>
      </xdr:txBody>
    </xdr:sp>
    <xdr:clientData/>
  </xdr:twoCellAnchor>
  <xdr:twoCellAnchor>
    <xdr:from>
      <xdr:col>0</xdr:col>
      <xdr:colOff>441960</xdr:colOff>
      <xdr:row>2</xdr:row>
      <xdr:rowOff>7620</xdr:rowOff>
    </xdr:from>
    <xdr:to>
      <xdr:col>9</xdr:col>
      <xdr:colOff>167640</xdr:colOff>
      <xdr:row>11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8CE68EF-13EA-7707-01CF-8ED9AE144D88}"/>
            </a:ext>
          </a:extLst>
        </xdr:cNvPr>
        <xdr:cNvSpPr/>
      </xdr:nvSpPr>
      <xdr:spPr>
        <a:xfrm>
          <a:off x="441960" y="373380"/>
          <a:ext cx="5212080" cy="16383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141175</xdr:colOff>
      <xdr:row>0</xdr:row>
      <xdr:rowOff>59531</xdr:rowOff>
    </xdr:from>
    <xdr:to>
      <xdr:col>1</xdr:col>
      <xdr:colOff>688862</xdr:colOff>
      <xdr:row>0</xdr:row>
      <xdr:rowOff>630561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F6C9F2-4C33-E633-6C62-5FE6E4588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282" y="59531"/>
          <a:ext cx="547687" cy="5672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482600</xdr:colOff>
          <xdr:row>93</xdr:row>
          <xdr:rowOff>177800</xdr:rowOff>
        </xdr:from>
        <xdr:to>
          <xdr:col>1</xdr:col>
          <xdr:colOff>2273300</xdr:colOff>
          <xdr:row>95</xdr:row>
          <xdr:rowOff>82550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PARK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93</xdr:row>
          <xdr:rowOff>177800</xdr:rowOff>
        </xdr:from>
        <xdr:to>
          <xdr:col>4</xdr:col>
          <xdr:colOff>1816100</xdr:colOff>
          <xdr:row>95</xdr:row>
          <xdr:rowOff>101600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425450</xdr:colOff>
          <xdr:row>108</xdr:row>
          <xdr:rowOff>6350</xdr:rowOff>
        </xdr:from>
        <xdr:to>
          <xdr:col>1</xdr:col>
          <xdr:colOff>2197100</xdr:colOff>
          <xdr:row>109</xdr:row>
          <xdr:rowOff>107950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PARK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108</xdr:row>
          <xdr:rowOff>25400</xdr:rowOff>
        </xdr:from>
        <xdr:to>
          <xdr:col>4</xdr:col>
          <xdr:colOff>1822450</xdr:colOff>
          <xdr:row>109</xdr:row>
          <xdr:rowOff>107950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ORDER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76200</xdr:colOff>
      <xdr:row>9</xdr:row>
      <xdr:rowOff>60959</xdr:rowOff>
    </xdr:from>
    <xdr:to>
      <xdr:col>14</xdr:col>
      <xdr:colOff>137160</xdr:colOff>
      <xdr:row>51</xdr:row>
      <xdr:rowOff>27214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DB726A9-5BD0-37F5-AD94-5C3FCA65A94C}"/>
            </a:ext>
          </a:extLst>
        </xdr:cNvPr>
        <xdr:cNvSpPr/>
      </xdr:nvSpPr>
      <xdr:spPr>
        <a:xfrm>
          <a:off x="76200" y="2428602"/>
          <a:ext cx="20607746" cy="8307433"/>
        </a:xfrm>
        <a:prstGeom prst="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127000</xdr:colOff>
      <xdr:row>8</xdr:row>
      <xdr:rowOff>47625</xdr:rowOff>
    </xdr:from>
    <xdr:ext cx="2960682" cy="34278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54078C2-F37F-9840-4567-7F13A3439AF6}"/>
            </a:ext>
          </a:extLst>
        </xdr:cNvPr>
        <xdr:cNvSpPr txBox="1"/>
      </xdr:nvSpPr>
      <xdr:spPr>
        <a:xfrm>
          <a:off x="330200" y="2181225"/>
          <a:ext cx="2960682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Section 1: Customer Information</a:t>
          </a:r>
        </a:p>
      </xdr:txBody>
    </xdr:sp>
    <xdr:clientData/>
  </xdr:oneCellAnchor>
  <xdr:twoCellAnchor>
    <xdr:from>
      <xdr:col>0</xdr:col>
      <xdr:colOff>76200</xdr:colOff>
      <xdr:row>54</xdr:row>
      <xdr:rowOff>163286</xdr:rowOff>
    </xdr:from>
    <xdr:to>
      <xdr:col>15</xdr:col>
      <xdr:colOff>258536</xdr:colOff>
      <xdr:row>72</xdr:row>
      <xdr:rowOff>121920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2360006-4EB5-42C0-818D-6894CE9123FB}"/>
            </a:ext>
          </a:extLst>
        </xdr:cNvPr>
        <xdr:cNvSpPr/>
      </xdr:nvSpPr>
      <xdr:spPr>
        <a:xfrm>
          <a:off x="76200" y="11443607"/>
          <a:ext cx="21341443" cy="3550920"/>
        </a:xfrm>
        <a:prstGeom prst="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127000</xdr:colOff>
      <xdr:row>53</xdr:row>
      <xdr:rowOff>0</xdr:rowOff>
    </xdr:from>
    <xdr:ext cx="2734851" cy="34278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FC46598D-1CC9-42E7-BCB4-1A607103565C}"/>
            </a:ext>
          </a:extLst>
        </xdr:cNvPr>
        <xdr:cNvSpPr txBox="1"/>
      </xdr:nvSpPr>
      <xdr:spPr>
        <a:xfrm>
          <a:off x="330200" y="8991600"/>
          <a:ext cx="2734851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Section 2: Freight Information</a:t>
          </a:r>
        </a:p>
      </xdr:txBody>
    </xdr:sp>
    <xdr:clientData/>
  </xdr:oneCellAnchor>
  <xdr:twoCellAnchor>
    <xdr:from>
      <xdr:col>0</xdr:col>
      <xdr:colOff>76200</xdr:colOff>
      <xdr:row>75</xdr:row>
      <xdr:rowOff>50800</xdr:rowOff>
    </xdr:from>
    <xdr:to>
      <xdr:col>14</xdr:col>
      <xdr:colOff>137160</xdr:colOff>
      <xdr:row>84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222A1C14-AB93-4FA5-8A38-CC87400E7164}"/>
            </a:ext>
          </a:extLst>
        </xdr:cNvPr>
        <xdr:cNvSpPr/>
      </xdr:nvSpPr>
      <xdr:spPr>
        <a:xfrm>
          <a:off x="76200" y="13462000"/>
          <a:ext cx="21092160" cy="1701800"/>
        </a:xfrm>
        <a:prstGeom prst="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127000</xdr:colOff>
      <xdr:row>73</xdr:row>
      <xdr:rowOff>125413</xdr:rowOff>
    </xdr:from>
    <xdr:ext cx="3879652" cy="34278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D159D7CF-8DDB-4D8C-95F6-B58C1CEAC4B2}"/>
            </a:ext>
          </a:extLst>
        </xdr:cNvPr>
        <xdr:cNvSpPr txBox="1"/>
      </xdr:nvSpPr>
      <xdr:spPr>
        <a:xfrm>
          <a:off x="333375" y="13230226"/>
          <a:ext cx="3879652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Section 3: Pick-up &amp; Delivery Requirements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749300</xdr:colOff>
          <xdr:row>185</xdr:row>
          <xdr:rowOff>107950</xdr:rowOff>
        </xdr:from>
        <xdr:to>
          <xdr:col>7</xdr:col>
          <xdr:colOff>558800</xdr:colOff>
          <xdr:row>187</xdr:row>
          <xdr:rowOff>44450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93</xdr:row>
          <xdr:rowOff>177800</xdr:rowOff>
        </xdr:from>
        <xdr:to>
          <xdr:col>3</xdr:col>
          <xdr:colOff>457200</xdr:colOff>
          <xdr:row>95</xdr:row>
          <xdr:rowOff>101600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base" displayName="Database" ref="A1:BR2">
  <autoFilter ref="A1:BR2" xr:uid="{00000000-0009-0000-0100-000001000000}"/>
  <tableColumns count="70">
    <tableColumn id="1" xr3:uid="{00000000-0010-0000-0000-000001000000}" name="Timestamp"/>
    <tableColumn id="2" xr3:uid="{00000000-0010-0000-0000-000002000000}" name="Quote"/>
    <tableColumn id="3" xr3:uid="{00000000-0010-0000-0000-000003000000}" name="PaymentType"/>
    <tableColumn id="4" xr3:uid="{00000000-0010-0000-0000-000004000000}" name="Caller_Name"/>
    <tableColumn id="5" xr3:uid="{00000000-0010-0000-0000-000005000000}" name="Caller_Address"/>
    <tableColumn id="6" xr3:uid="{00000000-0010-0000-0000-000006000000}" name="Caller_Phone"/>
    <tableColumn id="7" xr3:uid="{00000000-0010-0000-0000-000007000000}" name="Caller_Email"/>
    <tableColumn id="8" xr3:uid="{00000000-0010-0000-0000-000008000000}" name="Caller_Hours"/>
    <tableColumn id="9" xr3:uid="{00000000-0010-0000-0000-000009000000}" name="Shipper_Name"/>
    <tableColumn id="10" xr3:uid="{00000000-0010-0000-0000-00000A000000}" name="Shipper_Address"/>
    <tableColumn id="11" xr3:uid="{00000000-0010-0000-0000-00000B000000}" name="Shipper_Phone"/>
    <tableColumn id="12" xr3:uid="{00000000-0010-0000-0000-00000C000000}" name="Shipper_Email"/>
    <tableColumn id="13" xr3:uid="{00000000-0010-0000-0000-00000D000000}" name="Shipper_Hours"/>
    <tableColumn id="14" xr3:uid="{00000000-0010-0000-0000-00000E000000}" name="Consignee_Name"/>
    <tableColumn id="15" xr3:uid="{00000000-0010-0000-0000-00000F000000}" name="Consignee_Address"/>
    <tableColumn id="16" xr3:uid="{00000000-0010-0000-0000-000010000000}" name="Consignee_Phone"/>
    <tableColumn id="17" xr3:uid="{00000000-0010-0000-0000-000011000000}" name="Consignee_Email"/>
    <tableColumn id="18" xr3:uid="{00000000-0010-0000-0000-000012000000}" name="Consignee_Hours"/>
    <tableColumn id="19" xr3:uid="{00000000-0010-0000-0000-000013000000}" name="BillTo_Name"/>
    <tableColumn id="20" xr3:uid="{00000000-0010-0000-0000-000014000000}" name="BillTo_Address"/>
    <tableColumn id="21" xr3:uid="{00000000-0010-0000-0000-000015000000}" name="BillTo_Phone"/>
    <tableColumn id="22" xr3:uid="{00000000-0010-0000-0000-000016000000}" name="BillTo_Email"/>
    <tableColumn id="23" xr3:uid="{00000000-0010-0000-0000-000017000000}" name="BillTo_Hours"/>
    <tableColumn id="24" xr3:uid="{00000000-0010-0000-0000-000018000000}" name="Pickup_Date"/>
    <tableColumn id="25" xr3:uid="{00000000-0010-0000-0000-000019000000}" name="Pickup_Time"/>
    <tableColumn id="26" xr3:uid="{00000000-0010-0000-0000-00001A000000}" name="Pickup_Address"/>
    <tableColumn id="27" xr3:uid="{00000000-0010-0000-0000-00001B000000}" name="Pickup_AddressType"/>
    <tableColumn id="28" xr3:uid="{00000000-0010-0000-0000-00001C000000}" name="Pickup_ApptRequired"/>
    <tableColumn id="29" xr3:uid="{00000000-0010-0000-0000-00001D000000}" name="Pickup_ApptDate"/>
    <tableColumn id="30" xr3:uid="{00000000-0010-0000-0000-00001E000000}" name="Pickup_ApptTime"/>
    <tableColumn id="31" xr3:uid="{00000000-0010-0000-0000-00001F000000}" name="Pickup_ApptType"/>
    <tableColumn id="32" xr3:uid="{00000000-0010-0000-0000-000020000000}" name="Delivery_Date"/>
    <tableColumn id="33" xr3:uid="{00000000-0010-0000-0000-000021000000}" name="Delivery_Time"/>
    <tableColumn id="34" xr3:uid="{00000000-0010-0000-0000-000022000000}" name="Delivery_Address"/>
    <tableColumn id="35" xr3:uid="{00000000-0010-0000-0000-000023000000}" name="Delivery_AddressType"/>
    <tableColumn id="36" xr3:uid="{00000000-0010-0000-0000-000024000000}" name="Delivery_ApptRequired"/>
    <tableColumn id="37" xr3:uid="{00000000-0010-0000-0000-000025000000}" name="Delivery_ApptDate"/>
    <tableColumn id="38" xr3:uid="{00000000-0010-0000-0000-000026000000}" name="Delivery_ApptTime"/>
    <tableColumn id="39" xr3:uid="{00000000-0010-0000-0000-000027000000}" name="Delivery_Type"/>
    <tableColumn id="40" xr3:uid="{00000000-0010-0000-0000-000028000000}" name="Delivery_ApptType"/>
    <tableColumn id="41" xr3:uid="{00000000-0010-0000-0000-000029000000}" name="Pieces"/>
    <tableColumn id="42" xr3:uid="{00000000-0010-0000-0000-00002A000000}" name="Pieces_Unit"/>
    <tableColumn id="43" xr3:uid="{00000000-0010-0000-0000-00002B000000}" name="Commodity"/>
    <tableColumn id="44" xr3:uid="{00000000-0010-0000-0000-00002C000000}" name="Dangerous_Goods"/>
    <tableColumn id="45" xr3:uid="{00000000-0010-0000-0000-00002D000000}" name="Heat_Req"/>
    <tableColumn id="46" xr3:uid="{00000000-0010-0000-0000-00002E000000}" name="SLC"/>
    <tableColumn id="47" xr3:uid="{00000000-0010-0000-0000-00002F000000}" name="STC"/>
    <tableColumn id="48" xr3:uid="{00000000-0010-0000-0000-000030000000}" name="SKS"/>
    <tableColumn id="49" xr3:uid="{00000000-0010-0000-0000-000031000000}" name="Weight_lbs"/>
    <tableColumn id="50" xr3:uid="{00000000-0010-0000-0000-000032000000}" name="Len_in"/>
    <tableColumn id="51" xr3:uid="{00000000-0010-0000-0000-000033000000}" name="Wid_in"/>
    <tableColumn id="52" xr3:uid="{00000000-0010-0000-0000-000034000000}" name="Hei_in"/>
    <tableColumn id="53" xr3:uid="{00000000-0010-0000-0000-000035000000}" name="Pickup_Equip_Type"/>
    <tableColumn id="54" xr3:uid="{00000000-0010-0000-0000-000036000000}" name="Pickup_PTG"/>
    <tableColumn id="55" xr3:uid="{00000000-0010-0000-0000-000037000000}" name="Pickup_Inside"/>
    <tableColumn id="56" xr3:uid="{00000000-0010-0000-0000-000038000000}" name="Pickup_Dock"/>
    <tableColumn id="57" xr3:uid="{00000000-0010-0000-0000-000039000000}" name="Pickup_PalletJack"/>
    <tableColumn id="58" xr3:uid="{00000000-0010-0000-0000-00003A000000}" name="Delivery_Equip_Type"/>
    <tableColumn id="59" xr3:uid="{00000000-0010-0000-0000-00003B000000}" name="Delivery_PTG"/>
    <tableColumn id="60" xr3:uid="{00000000-0010-0000-0000-00003C000000}" name="Delivery_Inside"/>
    <tableColumn id="61" xr3:uid="{00000000-0010-0000-0000-00003D000000}" name="Delivery_Dock"/>
    <tableColumn id="62" xr3:uid="{00000000-0010-0000-0000-00003E000000}" name="Delivery_PalletJack"/>
    <tableColumn id="63" xr3:uid="{00000000-0010-0000-0000-00003F000000}" name="Trace_Type"/>
    <tableColumn id="64" xr3:uid="{00000000-0010-0000-0000-000040000000}" name="Pickup_Numbers"/>
    <tableColumn id="65" xr3:uid="{00000000-0010-0000-0000-000041000000}" name="CCN"/>
    <tableColumn id="66" xr3:uid="{00000000-0010-0000-0000-000042000000}" name="PO"/>
    <tableColumn id="67" xr3:uid="{00000000-0010-0000-0000-000043000000}" name="RAD"/>
    <tableColumn id="68" xr3:uid="{00000000-0010-0000-0000-000044000000}" name="Service_Level"/>
    <tableColumn id="69" xr3:uid="{00000000-0010-0000-0000-000045000000}" name="FB_Notes"/>
    <tableColumn id="70" xr3:uid="{00000000-0010-0000-0000-000046000000}" name="Shipping_Instruction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CFB42-C115-4E61-AB6C-6837EE02BBBD}">
  <sheetPr codeName="Sheet8"/>
  <dimension ref="A1"/>
  <sheetViews>
    <sheetView showGridLines="0" workbookViewId="0">
      <selection activeCell="G9" sqref="G9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48573"/>
  <sheetViews>
    <sheetView tabSelected="1" zoomScale="70" zoomScaleNormal="70" workbookViewId="0">
      <pane xSplit="1" ySplit="5" topLeftCell="B16" activePane="bottomRight" state="frozen"/>
      <selection pane="topRight"/>
      <selection pane="bottomLeft"/>
      <selection pane="bottomRight" activeCell="F25" sqref="B24:G25"/>
    </sheetView>
  </sheetViews>
  <sheetFormatPr defaultRowHeight="14.5" x14ac:dyDescent="0.35"/>
  <cols>
    <col min="1" max="1" width="3" customWidth="1"/>
    <col min="2" max="2" width="41.453125" customWidth="1"/>
    <col min="3" max="3" width="21" bestFit="1" customWidth="1"/>
    <col min="4" max="4" width="16.54296875" customWidth="1"/>
    <col min="5" max="5" width="31.36328125" bestFit="1" customWidth="1"/>
    <col min="6" max="6" width="16.453125" bestFit="1" customWidth="1"/>
    <col min="7" max="7" width="27.08984375" customWidth="1"/>
    <col min="8" max="8" width="18.6328125" customWidth="1"/>
    <col min="9" max="9" width="26.08984375" customWidth="1"/>
    <col min="10" max="10" width="21" bestFit="1" customWidth="1"/>
    <col min="11" max="11" width="19.6328125" customWidth="1"/>
    <col min="12" max="12" width="31.36328125" bestFit="1" customWidth="1"/>
    <col min="13" max="13" width="14" customWidth="1"/>
    <col min="14" max="14" width="20.36328125" customWidth="1"/>
  </cols>
  <sheetData>
    <row r="1" spans="1:14" ht="58.5" customHeight="1" x14ac:dyDescent="0.35">
      <c r="A1" s="4"/>
      <c r="E1" s="110" t="s">
        <v>489</v>
      </c>
      <c r="F1" s="110"/>
      <c r="G1" s="110"/>
      <c r="H1" s="110"/>
      <c r="I1" s="110"/>
      <c r="J1" s="110"/>
    </row>
    <row r="2" spans="1:14" ht="20" customHeight="1" x14ac:dyDescent="0.35">
      <c r="A2" s="3"/>
      <c r="B2" s="7" t="s">
        <v>327</v>
      </c>
      <c r="I2" s="15"/>
    </row>
    <row r="3" spans="1:14" x14ac:dyDescent="0.35">
      <c r="B3" s="15" t="s">
        <v>495</v>
      </c>
    </row>
    <row r="4" spans="1:14" x14ac:dyDescent="0.35">
      <c r="B4" s="36" t="s">
        <v>219</v>
      </c>
      <c r="C4" s="1"/>
      <c r="E4" s="44" t="s">
        <v>491</v>
      </c>
      <c r="F4" s="112" t="s">
        <v>236</v>
      </c>
      <c r="G4" s="15"/>
      <c r="H4" s="44" t="s">
        <v>492</v>
      </c>
      <c r="I4" s="112"/>
    </row>
    <row r="5" spans="1:14" ht="15" thickBot="1" x14ac:dyDescent="0.4"/>
    <row r="6" spans="1:14" ht="15.5" x14ac:dyDescent="0.35">
      <c r="B6" s="104" t="s">
        <v>269</v>
      </c>
      <c r="C6" s="99"/>
      <c r="D6" s="99"/>
      <c r="E6" s="99"/>
      <c r="F6" s="99"/>
      <c r="G6" s="99"/>
      <c r="H6" s="99"/>
      <c r="I6" s="99"/>
      <c r="J6" s="99"/>
      <c r="K6" s="99"/>
      <c r="L6" s="99"/>
      <c r="M6" s="100"/>
    </row>
    <row r="7" spans="1:14" ht="15" thickBot="1" x14ac:dyDescent="0.4">
      <c r="B7" s="30" t="s">
        <v>215</v>
      </c>
      <c r="C7" s="113"/>
      <c r="D7" s="10"/>
      <c r="E7" s="45" t="s">
        <v>214</v>
      </c>
      <c r="F7" s="113" t="s">
        <v>239</v>
      </c>
      <c r="G7" s="10"/>
      <c r="H7" s="97" t="s">
        <v>292</v>
      </c>
      <c r="I7" s="113" t="s">
        <v>349</v>
      </c>
      <c r="J7" s="10"/>
      <c r="K7" s="10"/>
      <c r="L7" s="10"/>
      <c r="M7" s="11"/>
    </row>
    <row r="11" spans="1:14" ht="15" thickBot="1" x14ac:dyDescent="0.4"/>
    <row r="12" spans="1:14" ht="22.25" customHeight="1" x14ac:dyDescent="0.35">
      <c r="B12" s="98" t="s">
        <v>221</v>
      </c>
      <c r="C12" s="107"/>
      <c r="D12" s="108"/>
      <c r="E12" s="108"/>
      <c r="F12" s="108"/>
      <c r="G12" s="109"/>
      <c r="I12" s="104" t="s">
        <v>215</v>
      </c>
      <c r="J12" s="107"/>
      <c r="K12" s="108"/>
      <c r="L12" s="108"/>
      <c r="M12" s="108"/>
      <c r="N12" s="109"/>
    </row>
    <row r="13" spans="1:14" x14ac:dyDescent="0.35">
      <c r="B13" s="46" t="s">
        <v>277</v>
      </c>
      <c r="C13" s="26"/>
      <c r="D13" s="22" t="s">
        <v>285</v>
      </c>
      <c r="E13" s="32" t="s">
        <v>280</v>
      </c>
      <c r="F13" s="114"/>
      <c r="G13" s="31"/>
      <c r="I13" s="46" t="s">
        <v>277</v>
      </c>
      <c r="J13" s="26"/>
      <c r="K13" s="1"/>
      <c r="L13" s="32" t="s">
        <v>280</v>
      </c>
      <c r="M13" s="114"/>
      <c r="N13" s="31"/>
    </row>
    <row r="14" spans="1:14" ht="15" thickBot="1" x14ac:dyDescent="0.4">
      <c r="B14" s="46" t="s">
        <v>329</v>
      </c>
      <c r="C14" s="101"/>
      <c r="D14" s="102"/>
      <c r="E14" s="102"/>
      <c r="F14" s="102"/>
      <c r="G14" s="9"/>
      <c r="I14" s="37" t="s">
        <v>329</v>
      </c>
      <c r="K14" s="40"/>
      <c r="L14" s="40"/>
      <c r="M14" s="40"/>
      <c r="N14" s="9"/>
    </row>
    <row r="15" spans="1:14" ht="15" thickBot="1" x14ac:dyDescent="0.4">
      <c r="B15" s="46" t="s">
        <v>330</v>
      </c>
      <c r="C15" s="29"/>
      <c r="D15" s="22" t="s">
        <v>347</v>
      </c>
      <c r="E15" s="1"/>
      <c r="F15" s="1"/>
      <c r="G15" s="9"/>
      <c r="I15" s="37" t="s">
        <v>330</v>
      </c>
      <c r="J15" s="40"/>
      <c r="K15" s="1"/>
      <c r="L15" s="1"/>
      <c r="M15" s="1"/>
      <c r="N15" s="9"/>
    </row>
    <row r="16" spans="1:14" x14ac:dyDescent="0.35">
      <c r="B16" s="33" t="s">
        <v>286</v>
      </c>
      <c r="C16" s="114"/>
      <c r="D16" s="60" t="s">
        <v>287</v>
      </c>
      <c r="E16" s="29"/>
      <c r="F16" s="60" t="s">
        <v>288</v>
      </c>
      <c r="G16" s="41"/>
      <c r="I16" s="33" t="s">
        <v>286</v>
      </c>
      <c r="J16" s="114"/>
      <c r="K16" s="39" t="s">
        <v>287</v>
      </c>
      <c r="L16" s="29"/>
      <c r="M16" s="39" t="s">
        <v>288</v>
      </c>
      <c r="N16" s="41"/>
    </row>
    <row r="17" spans="2:14" x14ac:dyDescent="0.35">
      <c r="B17" s="37" t="s">
        <v>278</v>
      </c>
      <c r="C17" s="29"/>
      <c r="D17" s="60" t="s">
        <v>291</v>
      </c>
      <c r="E17" s="29"/>
      <c r="F17" s="1"/>
      <c r="G17" s="9"/>
      <c r="I17" s="37" t="s">
        <v>278</v>
      </c>
      <c r="J17" s="29"/>
      <c r="K17" s="39" t="s">
        <v>291</v>
      </c>
      <c r="L17" s="29"/>
      <c r="M17" s="1"/>
      <c r="N17" s="9"/>
    </row>
    <row r="18" spans="2:14" x14ac:dyDescent="0.35">
      <c r="B18" s="35" t="s">
        <v>279</v>
      </c>
      <c r="C18" s="25"/>
      <c r="D18" s="60" t="s">
        <v>289</v>
      </c>
      <c r="E18" s="26"/>
      <c r="F18" s="22" t="s">
        <v>293</v>
      </c>
      <c r="G18" s="9"/>
      <c r="I18" s="35" t="s">
        <v>279</v>
      </c>
      <c r="J18" s="25"/>
      <c r="K18" s="39" t="s">
        <v>289</v>
      </c>
      <c r="L18" s="26"/>
      <c r="M18" s="22" t="s">
        <v>293</v>
      </c>
      <c r="N18" s="9"/>
    </row>
    <row r="19" spans="2:14" ht="15" thickBot="1" x14ac:dyDescent="0.4">
      <c r="B19" s="38" t="s">
        <v>328</v>
      </c>
      <c r="C19" s="40"/>
      <c r="D19" s="23" t="s">
        <v>290</v>
      </c>
      <c r="E19" s="10"/>
      <c r="F19" s="10"/>
      <c r="G19" s="11"/>
      <c r="I19" s="38" t="s">
        <v>328</v>
      </c>
      <c r="J19" s="40"/>
      <c r="K19" s="24" t="s">
        <v>290</v>
      </c>
      <c r="L19" s="10"/>
      <c r="M19" s="10"/>
      <c r="N19" s="11"/>
    </row>
    <row r="21" spans="2:14" x14ac:dyDescent="0.35">
      <c r="F21" s="91" t="s">
        <v>494</v>
      </c>
      <c r="M21" s="91" t="s">
        <v>494</v>
      </c>
    </row>
    <row r="23" spans="2:14" ht="15" thickBot="1" x14ac:dyDescent="0.4"/>
    <row r="24" spans="2:14" ht="16" thickBot="1" x14ac:dyDescent="0.4">
      <c r="B24" s="98" t="s">
        <v>354</v>
      </c>
      <c r="C24" s="108"/>
      <c r="D24" s="108"/>
      <c r="E24" s="108"/>
      <c r="F24" s="111"/>
      <c r="G24" s="109"/>
      <c r="I24" s="38" t="s">
        <v>481</v>
      </c>
      <c r="J24" s="25"/>
    </row>
    <row r="25" spans="2:14" x14ac:dyDescent="0.35">
      <c r="B25" s="37" t="s">
        <v>277</v>
      </c>
      <c r="C25" s="26"/>
      <c r="D25" s="22" t="s">
        <v>285</v>
      </c>
      <c r="E25" s="35" t="s">
        <v>280</v>
      </c>
      <c r="F25" s="26"/>
      <c r="G25" s="31"/>
      <c r="I25" s="6"/>
    </row>
    <row r="26" spans="2:14" x14ac:dyDescent="0.35">
      <c r="B26" s="37" t="s">
        <v>329</v>
      </c>
      <c r="C26" s="101"/>
      <c r="D26" s="102"/>
      <c r="E26" s="102"/>
      <c r="F26" s="102"/>
      <c r="G26" s="9"/>
      <c r="I26" s="6"/>
    </row>
    <row r="27" spans="2:14" x14ac:dyDescent="0.35">
      <c r="B27" s="37" t="s">
        <v>330</v>
      </c>
      <c r="C27" s="29"/>
      <c r="D27" s="22" t="s">
        <v>347</v>
      </c>
      <c r="E27" s="1"/>
      <c r="F27" s="1"/>
      <c r="G27" s="9"/>
      <c r="I27" s="6"/>
    </row>
    <row r="28" spans="2:14" x14ac:dyDescent="0.35">
      <c r="B28" s="35" t="s">
        <v>286</v>
      </c>
      <c r="C28" s="26"/>
      <c r="D28" s="39" t="s">
        <v>287</v>
      </c>
      <c r="E28" s="29"/>
      <c r="F28" s="39" t="s">
        <v>288</v>
      </c>
      <c r="G28" s="41"/>
      <c r="I28" s="6"/>
    </row>
    <row r="29" spans="2:14" x14ac:dyDescent="0.35">
      <c r="B29" s="37" t="s">
        <v>278</v>
      </c>
      <c r="C29" s="29"/>
      <c r="D29" s="39" t="s">
        <v>291</v>
      </c>
      <c r="E29" s="29"/>
      <c r="F29" s="1"/>
      <c r="G29" s="9"/>
      <c r="I29" s="6"/>
    </row>
    <row r="30" spans="2:14" x14ac:dyDescent="0.35">
      <c r="B30" s="35" t="s">
        <v>279</v>
      </c>
      <c r="C30" s="25"/>
      <c r="D30" s="39" t="s">
        <v>289</v>
      </c>
      <c r="E30" s="26"/>
      <c r="F30" s="22" t="s">
        <v>293</v>
      </c>
      <c r="G30" s="9"/>
      <c r="I30" s="6"/>
    </row>
    <row r="31" spans="2:14" ht="15" thickBot="1" x14ac:dyDescent="0.4">
      <c r="B31" s="38" t="s">
        <v>328</v>
      </c>
      <c r="C31" s="40"/>
      <c r="D31" s="23" t="s">
        <v>290</v>
      </c>
      <c r="E31" s="10"/>
      <c r="F31" s="10"/>
      <c r="G31" s="11"/>
      <c r="I31" s="6"/>
    </row>
    <row r="32" spans="2:14" x14ac:dyDescent="0.35">
      <c r="B32" s="6"/>
      <c r="I32" s="6"/>
    </row>
    <row r="33" spans="2:14" x14ac:dyDescent="0.35">
      <c r="B33" s="6"/>
      <c r="I33" s="6"/>
    </row>
    <row r="34" spans="2:14" x14ac:dyDescent="0.35">
      <c r="B34" s="6"/>
      <c r="I34" s="6"/>
    </row>
    <row r="35" spans="2:14" ht="15" thickBot="1" x14ac:dyDescent="0.4">
      <c r="B35" s="6"/>
      <c r="I35" s="6"/>
    </row>
    <row r="36" spans="2:14" ht="22.25" customHeight="1" x14ac:dyDescent="0.35">
      <c r="B36" s="104" t="s">
        <v>222</v>
      </c>
      <c r="C36" s="107"/>
      <c r="D36" s="108"/>
      <c r="E36" s="108"/>
      <c r="F36" s="107"/>
      <c r="G36" s="109"/>
      <c r="I36" s="104" t="s">
        <v>223</v>
      </c>
      <c r="J36" s="107"/>
      <c r="K36" s="108"/>
      <c r="L36" s="108"/>
      <c r="M36" s="107"/>
      <c r="N36" s="109"/>
    </row>
    <row r="37" spans="2:14" x14ac:dyDescent="0.35">
      <c r="B37" s="37" t="s">
        <v>305</v>
      </c>
      <c r="C37" s="26"/>
      <c r="D37" s="22" t="s">
        <v>285</v>
      </c>
      <c r="E37" s="32" t="s">
        <v>275</v>
      </c>
      <c r="F37" s="114"/>
      <c r="G37" s="9"/>
      <c r="I37" s="37" t="s">
        <v>306</v>
      </c>
      <c r="J37" s="26"/>
      <c r="K37" s="22" t="s">
        <v>285</v>
      </c>
      <c r="L37" s="48" t="s">
        <v>275</v>
      </c>
      <c r="M37" s="114"/>
      <c r="N37" s="9"/>
    </row>
    <row r="38" spans="2:14" x14ac:dyDescent="0.35">
      <c r="B38" s="33" t="s">
        <v>280</v>
      </c>
      <c r="C38" s="114"/>
      <c r="D38" s="31"/>
      <c r="E38" s="9"/>
      <c r="F38" s="9"/>
      <c r="G38" s="9"/>
      <c r="I38" s="33" t="s">
        <v>280</v>
      </c>
      <c r="J38" s="114"/>
      <c r="K38" s="31"/>
      <c r="M38" s="9"/>
      <c r="N38" s="9"/>
    </row>
    <row r="39" spans="2:14" ht="16.5" customHeight="1" x14ac:dyDescent="0.35">
      <c r="B39" s="37" t="s">
        <v>329</v>
      </c>
      <c r="C39" s="101"/>
      <c r="D39" s="102"/>
      <c r="E39" s="102"/>
      <c r="F39" s="102"/>
      <c r="G39" s="9"/>
      <c r="I39" s="37" t="s">
        <v>329</v>
      </c>
      <c r="J39" s="101"/>
      <c r="K39" s="102"/>
      <c r="L39" s="102"/>
      <c r="M39" s="102"/>
      <c r="N39" s="9"/>
    </row>
    <row r="40" spans="2:14" ht="18" customHeight="1" x14ac:dyDescent="0.35">
      <c r="B40" s="37" t="s">
        <v>330</v>
      </c>
      <c r="C40" s="29"/>
      <c r="D40" s="22" t="s">
        <v>347</v>
      </c>
      <c r="E40" s="22"/>
      <c r="F40" s="1"/>
      <c r="G40" s="9"/>
      <c r="I40" s="37" t="s">
        <v>330</v>
      </c>
      <c r="J40" s="29"/>
      <c r="K40" s="22" t="s">
        <v>347</v>
      </c>
      <c r="L40" s="22"/>
      <c r="M40" s="1"/>
      <c r="N40" s="9"/>
    </row>
    <row r="41" spans="2:14" x14ac:dyDescent="0.35">
      <c r="B41" s="33" t="s">
        <v>286</v>
      </c>
      <c r="C41" s="114"/>
      <c r="D41" s="60" t="s">
        <v>287</v>
      </c>
      <c r="E41" s="29"/>
      <c r="F41" s="60" t="s">
        <v>288</v>
      </c>
      <c r="G41" s="41"/>
      <c r="I41" s="33" t="s">
        <v>286</v>
      </c>
      <c r="J41" s="114"/>
      <c r="K41" s="60" t="s">
        <v>287</v>
      </c>
      <c r="L41" s="29"/>
      <c r="M41" s="60" t="s">
        <v>288</v>
      </c>
      <c r="N41" s="41"/>
    </row>
    <row r="42" spans="2:14" x14ac:dyDescent="0.35">
      <c r="B42" s="37" t="s">
        <v>278</v>
      </c>
      <c r="C42" s="29"/>
      <c r="D42" s="60" t="s">
        <v>291</v>
      </c>
      <c r="E42" s="29"/>
      <c r="F42" s="1"/>
      <c r="G42" s="9"/>
      <c r="I42" s="37" t="s">
        <v>278</v>
      </c>
      <c r="J42" s="29"/>
      <c r="K42" s="60" t="s">
        <v>291</v>
      </c>
      <c r="L42" s="29"/>
      <c r="M42" s="1"/>
      <c r="N42" s="9"/>
    </row>
    <row r="43" spans="2:14" x14ac:dyDescent="0.35">
      <c r="B43" s="35" t="s">
        <v>279</v>
      </c>
      <c r="C43" s="25"/>
      <c r="D43" s="60" t="s">
        <v>289</v>
      </c>
      <c r="E43" s="26"/>
      <c r="F43" s="22" t="s">
        <v>293</v>
      </c>
      <c r="G43" s="9"/>
      <c r="I43" s="35" t="s">
        <v>279</v>
      </c>
      <c r="J43" s="25"/>
      <c r="K43" s="60" t="s">
        <v>289</v>
      </c>
      <c r="L43" s="26"/>
      <c r="M43" s="22" t="s">
        <v>293</v>
      </c>
      <c r="N43" s="9"/>
    </row>
    <row r="44" spans="2:14" x14ac:dyDescent="0.35">
      <c r="B44" s="47" t="s">
        <v>482</v>
      </c>
      <c r="C44" s="115">
        <f ca="1">TODAY()</f>
        <v>46094</v>
      </c>
      <c r="D44" s="42" t="s">
        <v>298</v>
      </c>
      <c r="E44" s="53"/>
      <c r="F44" s="1"/>
      <c r="G44" s="9"/>
      <c r="I44" s="47" t="s">
        <v>484</v>
      </c>
      <c r="J44" s="115">
        <f ca="1">TODAY()</f>
        <v>46094</v>
      </c>
      <c r="K44" s="42" t="s">
        <v>302</v>
      </c>
      <c r="L44" s="53"/>
      <c r="M44" s="1"/>
      <c r="N44" s="9"/>
    </row>
    <row r="45" spans="2:14" x14ac:dyDescent="0.35">
      <c r="B45" s="47" t="s">
        <v>483</v>
      </c>
      <c r="C45" s="115">
        <f ca="1">TODAY()</f>
        <v>46094</v>
      </c>
      <c r="D45" s="42" t="s">
        <v>299</v>
      </c>
      <c r="E45" s="53"/>
      <c r="F45" s="1"/>
      <c r="G45" s="9"/>
      <c r="I45" s="47" t="s">
        <v>485</v>
      </c>
      <c r="J45" s="115">
        <f ca="1">TODAY()</f>
        <v>46094</v>
      </c>
      <c r="K45" s="42" t="s">
        <v>303</v>
      </c>
      <c r="L45" s="53"/>
      <c r="M45" s="1"/>
      <c r="N45" s="9"/>
    </row>
    <row r="46" spans="2:14" x14ac:dyDescent="0.35">
      <c r="B46" s="35" t="s">
        <v>295</v>
      </c>
      <c r="C46" s="1"/>
      <c r="D46" s="59" t="s">
        <v>276</v>
      </c>
      <c r="E46" s="112"/>
      <c r="F46" s="59" t="s">
        <v>296</v>
      </c>
      <c r="G46" s="117"/>
      <c r="I46" s="35" t="s">
        <v>297</v>
      </c>
      <c r="J46" s="1"/>
      <c r="K46" s="59" t="s">
        <v>276</v>
      </c>
      <c r="L46" s="112"/>
      <c r="M46" s="59" t="s">
        <v>296</v>
      </c>
      <c r="N46" s="117"/>
    </row>
    <row r="47" spans="2:14" x14ac:dyDescent="0.35">
      <c r="B47" s="33" t="s">
        <v>300</v>
      </c>
      <c r="C47" s="116"/>
      <c r="D47" s="22" t="s">
        <v>301</v>
      </c>
      <c r="E47" s="1"/>
      <c r="F47" s="1"/>
      <c r="G47" s="9"/>
      <c r="I47" s="47" t="s">
        <v>304</v>
      </c>
      <c r="J47" s="116"/>
      <c r="K47" s="22" t="s">
        <v>301</v>
      </c>
      <c r="L47" s="1"/>
      <c r="M47" s="1"/>
      <c r="N47" s="9"/>
    </row>
    <row r="48" spans="2:14" ht="15" thickBot="1" x14ac:dyDescent="0.4">
      <c r="B48" s="38" t="s">
        <v>328</v>
      </c>
      <c r="C48" s="40"/>
      <c r="D48" s="10"/>
      <c r="E48" s="10"/>
      <c r="F48" s="10"/>
      <c r="G48" s="11"/>
      <c r="I48" s="38" t="s">
        <v>328</v>
      </c>
      <c r="J48" s="40"/>
      <c r="K48" s="10"/>
      <c r="L48" s="10"/>
      <c r="M48" s="10"/>
      <c r="N48" s="11"/>
    </row>
    <row r="50" spans="2:16" x14ac:dyDescent="0.35">
      <c r="F50" s="91" t="s">
        <v>494</v>
      </c>
      <c r="M50" s="91" t="s">
        <v>494</v>
      </c>
    </row>
    <row r="56" spans="2:16" ht="15" thickBot="1" x14ac:dyDescent="0.4"/>
    <row r="57" spans="2:16" ht="15.5" x14ac:dyDescent="0.35">
      <c r="B57" s="98" t="s">
        <v>281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6"/>
    </row>
    <row r="58" spans="2:16" x14ac:dyDescent="0.35">
      <c r="B58" s="47" t="s">
        <v>263</v>
      </c>
      <c r="C58" s="112" t="s">
        <v>253</v>
      </c>
      <c r="D58" s="1"/>
      <c r="E58" s="1"/>
      <c r="F58" s="1"/>
      <c r="G58" s="1"/>
      <c r="H58" s="1"/>
      <c r="I58" s="13"/>
      <c r="J58" s="1"/>
      <c r="K58" s="1"/>
      <c r="L58" s="1"/>
      <c r="M58" s="1"/>
      <c r="N58" s="1"/>
      <c r="O58" s="9"/>
    </row>
    <row r="59" spans="2:16" ht="15" thickBot="1" x14ac:dyDescent="0.4">
      <c r="B59" s="63"/>
      <c r="C59" s="64"/>
      <c r="D59" s="64"/>
      <c r="E59" s="64"/>
      <c r="F59" s="64"/>
      <c r="G59" s="64"/>
      <c r="H59" s="64"/>
      <c r="I59" s="96"/>
      <c r="J59" s="64"/>
      <c r="K59" s="64"/>
      <c r="L59" s="64"/>
      <c r="M59" s="64"/>
      <c r="N59" s="64"/>
      <c r="O59" s="65"/>
    </row>
    <row r="60" spans="2:16" x14ac:dyDescent="0.35">
      <c r="B60" s="71" t="s">
        <v>235</v>
      </c>
      <c r="C60" s="118"/>
      <c r="D60" s="72"/>
      <c r="E60" s="73" t="s">
        <v>272</v>
      </c>
      <c r="F60" s="119"/>
      <c r="G60" s="72"/>
      <c r="H60" s="73" t="s">
        <v>270</v>
      </c>
      <c r="I60" s="119" t="s">
        <v>351</v>
      </c>
      <c r="J60" s="72"/>
      <c r="K60" s="74" t="s">
        <v>337</v>
      </c>
      <c r="L60" s="119" t="s">
        <v>496</v>
      </c>
      <c r="M60" s="72"/>
      <c r="N60" s="73" t="s">
        <v>271</v>
      </c>
      <c r="O60" s="121"/>
      <c r="P60" s="70" t="s">
        <v>341</v>
      </c>
    </row>
    <row r="61" spans="2:16" ht="15" thickBot="1" x14ac:dyDescent="0.4">
      <c r="B61" s="81"/>
      <c r="C61" s="82"/>
      <c r="D61" s="64"/>
      <c r="E61" s="64"/>
      <c r="F61" s="1"/>
      <c r="G61" s="1"/>
      <c r="H61" s="1"/>
      <c r="I61" s="13"/>
      <c r="J61" s="1"/>
      <c r="K61" s="1"/>
      <c r="L61" s="1"/>
      <c r="M61" s="1"/>
      <c r="N61" s="1"/>
      <c r="O61" s="75"/>
    </row>
    <row r="62" spans="2:16" ht="15" thickBot="1" x14ac:dyDescent="0.4">
      <c r="B62" s="84" t="s">
        <v>310</v>
      </c>
      <c r="C62" s="86" t="s">
        <v>487</v>
      </c>
      <c r="D62" s="87" t="s">
        <v>307</v>
      </c>
      <c r="E62" s="87" t="s">
        <v>308</v>
      </c>
      <c r="F62" s="88" t="s">
        <v>309</v>
      </c>
      <c r="G62" s="85" t="s">
        <v>341</v>
      </c>
      <c r="H62" s="1"/>
      <c r="I62" s="13"/>
      <c r="J62" s="1"/>
      <c r="K62" s="1"/>
      <c r="L62" s="1"/>
      <c r="M62" s="1"/>
      <c r="N62" s="1"/>
      <c r="O62" s="75"/>
    </row>
    <row r="63" spans="2:16" x14ac:dyDescent="0.35">
      <c r="B63" s="83"/>
      <c r="C63" s="67"/>
      <c r="D63" s="67"/>
      <c r="E63" s="67"/>
      <c r="F63" s="22"/>
      <c r="G63" s="1"/>
      <c r="H63" s="1"/>
      <c r="I63" s="58"/>
      <c r="J63" s="1"/>
      <c r="K63" s="1"/>
      <c r="L63" s="1"/>
      <c r="M63" s="1"/>
      <c r="N63" s="1"/>
      <c r="O63" s="75"/>
    </row>
    <row r="64" spans="2:16" ht="15" thickBot="1" x14ac:dyDescent="0.4">
      <c r="B64" s="76" t="s">
        <v>331</v>
      </c>
      <c r="C64" s="120" t="s">
        <v>233</v>
      </c>
      <c r="D64" s="77"/>
      <c r="E64" s="78" t="s">
        <v>311</v>
      </c>
      <c r="F64" s="79"/>
      <c r="G64" s="77"/>
      <c r="H64" s="78" t="s">
        <v>273</v>
      </c>
      <c r="I64" s="79"/>
      <c r="J64" s="77"/>
      <c r="K64" s="77"/>
      <c r="L64" s="77"/>
      <c r="M64" s="77"/>
      <c r="N64" s="77"/>
      <c r="O64" s="80"/>
    </row>
    <row r="65" spans="2:16" x14ac:dyDescent="0.35">
      <c r="B65" s="66"/>
      <c r="C65" s="67"/>
      <c r="D65" s="67"/>
      <c r="E65" s="67"/>
      <c r="F65" s="67"/>
      <c r="G65" s="67"/>
      <c r="H65" s="67"/>
      <c r="I65" s="68"/>
      <c r="J65" s="67"/>
      <c r="K65" s="67"/>
      <c r="L65" s="67"/>
      <c r="M65" s="67" t="s">
        <v>315</v>
      </c>
      <c r="N65" s="67"/>
      <c r="O65" s="69"/>
    </row>
    <row r="66" spans="2:16" ht="15" thickBot="1" x14ac:dyDescent="0.4">
      <c r="B66" s="49" t="s">
        <v>274</v>
      </c>
      <c r="C66" s="113"/>
      <c r="D66" s="10"/>
      <c r="E66" s="45" t="s">
        <v>313</v>
      </c>
      <c r="F66" s="113"/>
      <c r="G66" s="10"/>
      <c r="H66" s="61" t="s">
        <v>312</v>
      </c>
      <c r="I66" s="10"/>
      <c r="J66" s="10"/>
      <c r="K66" s="50" t="s">
        <v>314</v>
      </c>
      <c r="L66" s="10"/>
      <c r="M66" s="28"/>
      <c r="N66" s="10"/>
      <c r="O66" s="11"/>
    </row>
    <row r="68" spans="2:16" ht="15" thickBot="1" x14ac:dyDescent="0.4"/>
    <row r="69" spans="2:16" ht="16" thickBot="1" x14ac:dyDescent="0.4">
      <c r="B69" s="103" t="s">
        <v>261</v>
      </c>
      <c r="C69" s="99"/>
      <c r="D69" s="99"/>
      <c r="E69" s="99"/>
      <c r="F69" s="99"/>
      <c r="G69" s="99"/>
      <c r="H69" s="99"/>
      <c r="I69" s="99"/>
      <c r="J69" s="99"/>
      <c r="K69" s="99"/>
      <c r="L69" s="99"/>
      <c r="M69" s="100"/>
    </row>
    <row r="70" spans="2:16" ht="15" thickBot="1" x14ac:dyDescent="0.4">
      <c r="B70" s="94" t="s">
        <v>352</v>
      </c>
      <c r="C70" s="92"/>
      <c r="D70" s="1"/>
      <c r="E70" s="94" t="s">
        <v>262</v>
      </c>
      <c r="F70" s="1"/>
      <c r="G70" s="1"/>
      <c r="H70" s="94" t="s">
        <v>317</v>
      </c>
      <c r="I70" s="1"/>
      <c r="J70" s="1"/>
      <c r="K70" s="94" t="s">
        <v>265</v>
      </c>
      <c r="L70" s="1"/>
      <c r="M70" s="9"/>
      <c r="P70" s="95" t="s">
        <v>497</v>
      </c>
    </row>
    <row r="71" spans="2:16" ht="15" thickBot="1" x14ac:dyDescent="0.4">
      <c r="B71" s="93"/>
      <c r="C71" s="1"/>
      <c r="D71" s="1"/>
      <c r="E71" s="5" t="s">
        <v>245</v>
      </c>
      <c r="F71" s="1"/>
      <c r="G71" s="1"/>
      <c r="H71" s="13"/>
      <c r="I71" s="1"/>
      <c r="J71" s="1"/>
      <c r="K71" s="13"/>
      <c r="L71" s="1"/>
      <c r="M71" s="9"/>
    </row>
    <row r="72" spans="2:16" ht="15" thickBot="1" x14ac:dyDescent="0.4">
      <c r="B72" s="94" t="s">
        <v>257</v>
      </c>
      <c r="C72" s="10"/>
      <c r="D72" s="10"/>
      <c r="E72" s="50" t="s">
        <v>264</v>
      </c>
      <c r="F72" s="10"/>
      <c r="G72" s="10"/>
      <c r="H72" s="50" t="s">
        <v>318</v>
      </c>
      <c r="I72" s="10"/>
      <c r="J72" s="10"/>
      <c r="K72" s="94" t="s">
        <v>316</v>
      </c>
      <c r="L72" s="10"/>
      <c r="M72" s="11"/>
    </row>
    <row r="77" spans="2:16" ht="15" thickBot="1" x14ac:dyDescent="0.4"/>
    <row r="78" spans="2:16" ht="22.25" customHeight="1" x14ac:dyDescent="0.35">
      <c r="B78" s="98" t="s">
        <v>338</v>
      </c>
      <c r="C78" s="99"/>
      <c r="D78" s="99"/>
      <c r="E78" s="99"/>
      <c r="F78" s="100"/>
      <c r="I78" s="104" t="s">
        <v>339</v>
      </c>
      <c r="J78" s="99"/>
      <c r="K78" s="99"/>
      <c r="L78" s="99"/>
      <c r="M78" s="100"/>
    </row>
    <row r="79" spans="2:16" x14ac:dyDescent="0.35">
      <c r="B79" s="47" t="s">
        <v>268</v>
      </c>
      <c r="C79" s="112"/>
      <c r="D79" s="1"/>
      <c r="E79" s="48" t="s">
        <v>319</v>
      </c>
      <c r="F79" s="117"/>
      <c r="I79" s="33" t="s">
        <v>268</v>
      </c>
      <c r="J79" s="112"/>
      <c r="K79" s="1"/>
      <c r="L79" s="32" t="s">
        <v>319</v>
      </c>
      <c r="M79" s="117"/>
    </row>
    <row r="80" spans="2:16" x14ac:dyDescent="0.35">
      <c r="B80" s="14"/>
      <c r="C80" s="1"/>
      <c r="D80" s="1"/>
      <c r="E80" s="13"/>
      <c r="F80" s="9"/>
      <c r="I80" s="14"/>
      <c r="J80" s="1"/>
      <c r="K80" s="1"/>
      <c r="L80" s="13"/>
      <c r="M80" s="9"/>
    </row>
    <row r="81" spans="2:13" x14ac:dyDescent="0.35">
      <c r="B81" s="47" t="s">
        <v>353</v>
      </c>
      <c r="C81" s="112"/>
      <c r="D81" s="1"/>
      <c r="E81" s="48" t="s">
        <v>266</v>
      </c>
      <c r="F81" s="117"/>
      <c r="I81" s="33" t="s">
        <v>267</v>
      </c>
      <c r="J81" s="112"/>
      <c r="K81" s="1"/>
      <c r="L81" s="32" t="s">
        <v>266</v>
      </c>
      <c r="M81" s="117"/>
    </row>
    <row r="82" spans="2:13" x14ac:dyDescent="0.35">
      <c r="B82" s="12"/>
      <c r="C82" s="1"/>
      <c r="D82" s="1"/>
      <c r="E82" s="1"/>
      <c r="F82" s="9"/>
      <c r="I82" s="12"/>
      <c r="J82" s="1"/>
      <c r="K82" s="1"/>
      <c r="L82" s="1"/>
      <c r="M82" s="9"/>
    </row>
    <row r="83" spans="2:13" ht="15" thickBot="1" x14ac:dyDescent="0.4">
      <c r="B83" s="51" t="s">
        <v>216</v>
      </c>
      <c r="C83" s="18"/>
      <c r="D83" s="10"/>
      <c r="E83" s="10"/>
      <c r="F83" s="11"/>
      <c r="I83" s="34" t="s">
        <v>216</v>
      </c>
      <c r="J83" s="18"/>
      <c r="K83" s="10"/>
      <c r="L83" s="10"/>
      <c r="M83" s="11"/>
    </row>
    <row r="85" spans="2:13" ht="15" thickBot="1" x14ac:dyDescent="0.4">
      <c r="C85" s="1"/>
    </row>
    <row r="86" spans="2:13" ht="22.25" customHeight="1" x14ac:dyDescent="0.35">
      <c r="B86" s="98" t="s">
        <v>218</v>
      </c>
      <c r="C86" s="99"/>
      <c r="D86" s="99"/>
      <c r="E86" s="99"/>
      <c r="F86" s="99"/>
      <c r="G86" s="99"/>
      <c r="H86" s="99"/>
      <c r="I86" s="99"/>
      <c r="J86" s="99"/>
      <c r="K86" s="99"/>
      <c r="L86" s="99"/>
      <c r="M86" s="100"/>
    </row>
    <row r="87" spans="2:13" x14ac:dyDescent="0.35">
      <c r="B87" s="52" t="s">
        <v>217</v>
      </c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7"/>
    </row>
    <row r="88" spans="2:13" x14ac:dyDescent="0.35">
      <c r="B88" s="12"/>
      <c r="C88" s="1"/>
      <c r="D88" s="1"/>
      <c r="E88" s="1"/>
      <c r="F88" s="1"/>
      <c r="G88" s="1"/>
      <c r="H88" s="1"/>
      <c r="I88" s="1"/>
      <c r="J88" s="1"/>
      <c r="K88" s="1"/>
      <c r="L88" s="1"/>
      <c r="M88" s="9"/>
    </row>
    <row r="89" spans="2:13" ht="15" thickBot="1" x14ac:dyDescent="0.4">
      <c r="B89" s="51" t="s">
        <v>333</v>
      </c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9"/>
    </row>
    <row r="90" spans="2:13" ht="22.25" customHeight="1" x14ac:dyDescent="0.35"/>
    <row r="91" spans="2:13" x14ac:dyDescent="0.35">
      <c r="B91" s="62" t="s">
        <v>486</v>
      </c>
      <c r="C91" s="16"/>
    </row>
    <row r="96" spans="2:13" ht="15.5" x14ac:dyDescent="0.35">
      <c r="E96" s="27"/>
    </row>
    <row r="99" spans="2:13" x14ac:dyDescent="0.35">
      <c r="B99" s="8" t="s">
        <v>490</v>
      </c>
      <c r="C99" s="1"/>
    </row>
    <row r="101" spans="2:13" ht="15" thickBot="1" x14ac:dyDescent="0.4">
      <c r="B101" s="20" t="s">
        <v>348</v>
      </c>
    </row>
    <row r="102" spans="2:13" ht="15.5" x14ac:dyDescent="0.35">
      <c r="B102" s="98" t="s">
        <v>342</v>
      </c>
      <c r="C102" s="99"/>
      <c r="D102" s="99"/>
      <c r="E102" s="99"/>
      <c r="F102" s="99"/>
      <c r="G102" s="99"/>
      <c r="H102" s="99"/>
      <c r="I102" s="99"/>
      <c r="J102" s="99"/>
      <c r="K102" s="99"/>
      <c r="L102" s="99"/>
      <c r="M102" s="100"/>
    </row>
    <row r="103" spans="2:13" x14ac:dyDescent="0.35">
      <c r="B103" s="43" t="s">
        <v>343</v>
      </c>
      <c r="C103" s="1"/>
      <c r="D103" s="1"/>
      <c r="E103" s="48" t="s">
        <v>213</v>
      </c>
      <c r="F103" s="112"/>
      <c r="G103" s="13"/>
      <c r="H103" s="90" t="s">
        <v>488</v>
      </c>
      <c r="I103" s="89"/>
      <c r="J103" s="112"/>
      <c r="K103" s="1"/>
      <c r="L103" s="1"/>
      <c r="M103" s="9"/>
    </row>
    <row r="104" spans="2:13" x14ac:dyDescent="0.35">
      <c r="B104" s="43" t="s">
        <v>345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9"/>
    </row>
    <row r="105" spans="2:13" x14ac:dyDescent="0.35">
      <c r="B105" s="43" t="s">
        <v>346</v>
      </c>
      <c r="C105" s="1"/>
      <c r="D105" s="1"/>
      <c r="E105" s="48" t="s">
        <v>335</v>
      </c>
      <c r="F105" s="112"/>
      <c r="G105" s="1"/>
      <c r="H105" s="1"/>
      <c r="I105" s="1"/>
      <c r="J105" s="1"/>
      <c r="K105" s="1"/>
      <c r="L105" s="1"/>
      <c r="M105" s="9"/>
    </row>
    <row r="106" spans="2:13" ht="15" thickBot="1" x14ac:dyDescent="0.4">
      <c r="B106" s="43" t="s">
        <v>344</v>
      </c>
      <c r="C106" s="1"/>
      <c r="D106" s="10"/>
      <c r="E106" s="10"/>
      <c r="F106" s="10"/>
      <c r="G106" s="10"/>
      <c r="H106" s="10"/>
      <c r="I106" s="10"/>
      <c r="J106" s="10"/>
      <c r="K106" s="10"/>
      <c r="L106" s="10"/>
      <c r="M106" s="11"/>
    </row>
    <row r="109" spans="2:13" ht="15.5" x14ac:dyDescent="0.35">
      <c r="E109" s="27"/>
      <c r="F109" t="s">
        <v>493</v>
      </c>
    </row>
    <row r="114" spans="2:13" x14ac:dyDescent="0.35">
      <c r="B114" t="s">
        <v>294</v>
      </c>
    </row>
    <row r="116" spans="2:13" x14ac:dyDescent="0.35">
      <c r="B116" t="s">
        <v>332</v>
      </c>
    </row>
    <row r="118" spans="2:13" x14ac:dyDescent="0.35">
      <c r="B118" t="s">
        <v>326</v>
      </c>
    </row>
    <row r="119" spans="2:13" x14ac:dyDescent="0.35">
      <c r="B119" t="s">
        <v>322</v>
      </c>
    </row>
    <row r="120" spans="2:13" x14ac:dyDescent="0.35">
      <c r="B120" t="s">
        <v>323</v>
      </c>
    </row>
    <row r="121" spans="2:13" x14ac:dyDescent="0.35">
      <c r="B121" t="s">
        <v>324</v>
      </c>
    </row>
    <row r="122" spans="2:13" x14ac:dyDescent="0.35">
      <c r="B122" t="s">
        <v>325</v>
      </c>
    </row>
    <row r="124" spans="2:13" x14ac:dyDescent="0.35">
      <c r="B124" t="s">
        <v>336</v>
      </c>
      <c r="M124" t="s">
        <v>245</v>
      </c>
    </row>
    <row r="125" spans="2:13" x14ac:dyDescent="0.35">
      <c r="M125" t="s">
        <v>245</v>
      </c>
    </row>
    <row r="126" spans="2:13" x14ac:dyDescent="0.35">
      <c r="E126" t="s">
        <v>334</v>
      </c>
      <c r="M126" t="s">
        <v>245</v>
      </c>
    </row>
    <row r="127" spans="2:13" x14ac:dyDescent="0.35">
      <c r="M127" t="s">
        <v>245</v>
      </c>
    </row>
    <row r="129" spans="2:2" x14ac:dyDescent="0.35">
      <c r="B129" s="15"/>
    </row>
    <row r="130" spans="2:2" x14ac:dyDescent="0.35">
      <c r="B130" s="15"/>
    </row>
    <row r="1048442" spans="2:3" x14ac:dyDescent="0.35">
      <c r="B1048442" s="54" t="s">
        <v>499</v>
      </c>
      <c r="C1048442" s="55">
        <f>C4</f>
        <v>0</v>
      </c>
    </row>
    <row r="1048443" spans="2:3" x14ac:dyDescent="0.35">
      <c r="B1048443" s="54" t="s">
        <v>500</v>
      </c>
      <c r="C1048443" s="55" t="str">
        <f>F4</f>
        <v>SINGLE</v>
      </c>
    </row>
    <row r="1048444" spans="2:3" x14ac:dyDescent="0.35">
      <c r="B1048444" s="54" t="s">
        <v>501</v>
      </c>
      <c r="C1048444" s="55">
        <f>I4</f>
        <v>0</v>
      </c>
    </row>
    <row r="1048445" spans="2:3" x14ac:dyDescent="0.35">
      <c r="B1048445" s="54" t="s">
        <v>502</v>
      </c>
      <c r="C1048445" s="55">
        <f>C7</f>
        <v>0</v>
      </c>
    </row>
    <row r="1048446" spans="2:3" x14ac:dyDescent="0.35">
      <c r="B1048446" s="54" t="s">
        <v>503</v>
      </c>
      <c r="C1048446" s="55" t="str">
        <f>F7</f>
        <v>NO</v>
      </c>
    </row>
    <row r="1048447" spans="2:3" x14ac:dyDescent="0.35">
      <c r="B1048447" s="54" t="s">
        <v>504</v>
      </c>
      <c r="C1048447" s="55" t="str">
        <f>I7</f>
        <v>CANADIAN DOLLARS</v>
      </c>
    </row>
    <row r="1048448" spans="2:3" x14ac:dyDescent="0.35">
      <c r="B1048448" s="54" t="s">
        <v>505</v>
      </c>
      <c r="C1048448" s="55">
        <f>C13</f>
        <v>0</v>
      </c>
    </row>
    <row r="1048449" spans="2:3" x14ac:dyDescent="0.35">
      <c r="B1048449" s="54" t="s">
        <v>506</v>
      </c>
      <c r="C1048449" s="55">
        <f t="shared" ref="C1048449:C1048454" si="0">C14</f>
        <v>0</v>
      </c>
    </row>
    <row r="1048450" spans="2:3" x14ac:dyDescent="0.35">
      <c r="B1048450" s="54" t="s">
        <v>507</v>
      </c>
      <c r="C1048450" s="55">
        <f t="shared" si="0"/>
        <v>0</v>
      </c>
    </row>
    <row r="1048451" spans="2:3" x14ac:dyDescent="0.35">
      <c r="B1048451" s="54" t="s">
        <v>508</v>
      </c>
      <c r="C1048451" s="55">
        <f t="shared" si="0"/>
        <v>0</v>
      </c>
    </row>
    <row r="1048452" spans="2:3" x14ac:dyDescent="0.35">
      <c r="B1048452" s="54" t="s">
        <v>509</v>
      </c>
      <c r="C1048452" s="55">
        <f t="shared" si="0"/>
        <v>0</v>
      </c>
    </row>
    <row r="1048453" spans="2:3" x14ac:dyDescent="0.35">
      <c r="B1048453" s="54" t="s">
        <v>510</v>
      </c>
      <c r="C1048453" s="55">
        <f t="shared" si="0"/>
        <v>0</v>
      </c>
    </row>
    <row r="1048454" spans="2:3" x14ac:dyDescent="0.35">
      <c r="B1048454" s="54" t="s">
        <v>511</v>
      </c>
      <c r="C1048454" s="55">
        <f t="shared" si="0"/>
        <v>0</v>
      </c>
    </row>
    <row r="1048455" spans="2:3" x14ac:dyDescent="0.35">
      <c r="B1048455" s="54" t="s">
        <v>512</v>
      </c>
      <c r="C1048455" s="55">
        <f>F13</f>
        <v>0</v>
      </c>
    </row>
    <row r="1048456" spans="2:3" x14ac:dyDescent="0.35">
      <c r="B1048456" s="54" t="s">
        <v>513</v>
      </c>
      <c r="C1048456" s="55">
        <f>E16</f>
        <v>0</v>
      </c>
    </row>
    <row r="1048457" spans="2:3" x14ac:dyDescent="0.35">
      <c r="B1048457" s="54" t="s">
        <v>514</v>
      </c>
      <c r="C1048457" s="55">
        <f t="shared" ref="C1048457:C1048458" si="1">E17</f>
        <v>0</v>
      </c>
    </row>
    <row r="1048458" spans="2:3" x14ac:dyDescent="0.35">
      <c r="B1048458" s="54" t="s">
        <v>515</v>
      </c>
      <c r="C1048458" s="55">
        <f t="shared" si="1"/>
        <v>0</v>
      </c>
    </row>
    <row r="1048459" spans="2:3" x14ac:dyDescent="0.35">
      <c r="B1048459" s="54" t="s">
        <v>516</v>
      </c>
      <c r="C1048459" s="55">
        <f>G16</f>
        <v>0</v>
      </c>
    </row>
    <row r="1048460" spans="2:3" x14ac:dyDescent="0.35">
      <c r="B1048460" s="54" t="s">
        <v>517</v>
      </c>
      <c r="C1048460" s="55">
        <f>J13</f>
        <v>0</v>
      </c>
    </row>
    <row r="1048461" spans="2:3" x14ac:dyDescent="0.35">
      <c r="B1048461" s="54" t="s">
        <v>518</v>
      </c>
      <c r="C1048461" s="55">
        <f t="shared" ref="C1048461:C1048466" si="2">J14</f>
        <v>0</v>
      </c>
    </row>
    <row r="1048462" spans="2:3" x14ac:dyDescent="0.35">
      <c r="B1048462" s="54" t="s">
        <v>519</v>
      </c>
      <c r="C1048462" s="55">
        <f t="shared" si="2"/>
        <v>0</v>
      </c>
    </row>
    <row r="1048463" spans="2:3" x14ac:dyDescent="0.35">
      <c r="B1048463" s="54" t="s">
        <v>520</v>
      </c>
      <c r="C1048463" s="55">
        <f t="shared" si="2"/>
        <v>0</v>
      </c>
    </row>
    <row r="1048464" spans="2:3" x14ac:dyDescent="0.35">
      <c r="B1048464" s="54" t="s">
        <v>521</v>
      </c>
      <c r="C1048464" s="55">
        <f t="shared" si="2"/>
        <v>0</v>
      </c>
    </row>
    <row r="1048465" spans="2:3" x14ac:dyDescent="0.35">
      <c r="B1048465" s="54" t="s">
        <v>522</v>
      </c>
      <c r="C1048465" s="55">
        <f t="shared" si="2"/>
        <v>0</v>
      </c>
    </row>
    <row r="1048466" spans="2:3" x14ac:dyDescent="0.35">
      <c r="B1048466" s="54" t="s">
        <v>523</v>
      </c>
      <c r="C1048466" s="55">
        <f t="shared" si="2"/>
        <v>0</v>
      </c>
    </row>
    <row r="1048467" spans="2:3" x14ac:dyDescent="0.35">
      <c r="B1048467" s="54" t="s">
        <v>524</v>
      </c>
      <c r="C1048467" s="55">
        <f>E16</f>
        <v>0</v>
      </c>
    </row>
    <row r="1048468" spans="2:3" x14ac:dyDescent="0.35">
      <c r="B1048468" s="54" t="s">
        <v>525</v>
      </c>
      <c r="C1048468" s="55">
        <f t="shared" ref="C1048468:C1048469" si="3">E17</f>
        <v>0</v>
      </c>
    </row>
    <row r="1048469" spans="2:3" x14ac:dyDescent="0.35">
      <c r="B1048469" s="54" t="s">
        <v>526</v>
      </c>
      <c r="C1048469" s="55">
        <f t="shared" si="3"/>
        <v>0</v>
      </c>
    </row>
    <row r="1048470" spans="2:3" x14ac:dyDescent="0.35">
      <c r="B1048470" s="54" t="s">
        <v>527</v>
      </c>
      <c r="C1048470" s="55">
        <f>M13</f>
        <v>0</v>
      </c>
    </row>
    <row r="1048471" spans="2:3" x14ac:dyDescent="0.35">
      <c r="B1048471" s="54" t="s">
        <v>528</v>
      </c>
      <c r="C1048471" s="55">
        <f>N16</f>
        <v>0</v>
      </c>
    </row>
    <row r="1048472" spans="2:3" x14ac:dyDescent="0.35">
      <c r="B1048472" s="54" t="s">
        <v>529</v>
      </c>
      <c r="C1048472" s="55">
        <f>C25</f>
        <v>0</v>
      </c>
    </row>
    <row r="1048473" spans="2:3" x14ac:dyDescent="0.35">
      <c r="B1048473" s="54" t="s">
        <v>530</v>
      </c>
      <c r="C1048473" s="55">
        <f t="shared" ref="C1048473:C1048478" si="4">C26</f>
        <v>0</v>
      </c>
    </row>
    <row r="1048474" spans="2:3" x14ac:dyDescent="0.35">
      <c r="B1048474" s="54" t="s">
        <v>531</v>
      </c>
      <c r="C1048474" s="55">
        <f t="shared" si="4"/>
        <v>0</v>
      </c>
    </row>
    <row r="1048475" spans="2:3" x14ac:dyDescent="0.35">
      <c r="B1048475" s="54" t="s">
        <v>532</v>
      </c>
      <c r="C1048475" s="55">
        <f t="shared" si="4"/>
        <v>0</v>
      </c>
    </row>
    <row r="1048476" spans="2:3" x14ac:dyDescent="0.35">
      <c r="B1048476" s="54" t="s">
        <v>533</v>
      </c>
      <c r="C1048476" s="55">
        <f t="shared" si="4"/>
        <v>0</v>
      </c>
    </row>
    <row r="1048477" spans="2:3" x14ac:dyDescent="0.35">
      <c r="B1048477" s="54" t="s">
        <v>534</v>
      </c>
      <c r="C1048477" s="55">
        <f t="shared" si="4"/>
        <v>0</v>
      </c>
    </row>
    <row r="1048478" spans="2:3" x14ac:dyDescent="0.35">
      <c r="B1048478" s="54" t="s">
        <v>535</v>
      </c>
      <c r="C1048478" s="55">
        <f t="shared" si="4"/>
        <v>0</v>
      </c>
    </row>
    <row r="1048479" spans="2:3" x14ac:dyDescent="0.35">
      <c r="B1048479" s="54" t="s">
        <v>536</v>
      </c>
      <c r="C1048479" s="55">
        <f>E28</f>
        <v>0</v>
      </c>
    </row>
    <row r="1048480" spans="2:3" x14ac:dyDescent="0.35">
      <c r="B1048480" s="54" t="s">
        <v>537</v>
      </c>
      <c r="C1048480" s="55">
        <f t="shared" ref="C1048480:C1048481" si="5">E29</f>
        <v>0</v>
      </c>
    </row>
    <row r="1048481" spans="2:3" x14ac:dyDescent="0.35">
      <c r="B1048481" s="54" t="s">
        <v>538</v>
      </c>
      <c r="C1048481" s="55">
        <f t="shared" si="5"/>
        <v>0</v>
      </c>
    </row>
    <row r="1048482" spans="2:3" x14ac:dyDescent="0.35">
      <c r="B1048482" s="54" t="s">
        <v>539</v>
      </c>
      <c r="C1048482" s="55">
        <f>F25</f>
        <v>0</v>
      </c>
    </row>
    <row r="1048483" spans="2:3" x14ac:dyDescent="0.35">
      <c r="B1048483" s="54" t="s">
        <v>540</v>
      </c>
      <c r="C1048483" s="55">
        <f>G28</f>
        <v>0</v>
      </c>
    </row>
    <row r="1048484" spans="2:3" x14ac:dyDescent="0.35">
      <c r="B1048484" s="54" t="s">
        <v>541</v>
      </c>
      <c r="C1048484" s="55">
        <f>J24</f>
        <v>0</v>
      </c>
    </row>
    <row r="1048485" spans="2:3" x14ac:dyDescent="0.35">
      <c r="B1048485" s="54" t="s">
        <v>542</v>
      </c>
      <c r="C1048485" s="55">
        <f>C37</f>
        <v>0</v>
      </c>
    </row>
    <row r="1048486" spans="2:3" x14ac:dyDescent="0.35">
      <c r="B1048486" s="54" t="s">
        <v>543</v>
      </c>
      <c r="C1048486" s="55">
        <f t="shared" ref="C1048486:C1048496" si="6">C38</f>
        <v>0</v>
      </c>
    </row>
    <row r="1048487" spans="2:3" x14ac:dyDescent="0.35">
      <c r="B1048487" s="54" t="s">
        <v>544</v>
      </c>
      <c r="C1048487" s="55">
        <f t="shared" si="6"/>
        <v>0</v>
      </c>
    </row>
    <row r="1048488" spans="2:3" x14ac:dyDescent="0.35">
      <c r="B1048488" s="54" t="s">
        <v>545</v>
      </c>
      <c r="C1048488" s="55">
        <f t="shared" si="6"/>
        <v>0</v>
      </c>
    </row>
    <row r="1048489" spans="2:3" x14ac:dyDescent="0.35">
      <c r="B1048489" s="54" t="s">
        <v>546</v>
      </c>
      <c r="C1048489" s="55">
        <f t="shared" si="6"/>
        <v>0</v>
      </c>
    </row>
    <row r="1048490" spans="2:3" x14ac:dyDescent="0.35">
      <c r="B1048490" s="54" t="s">
        <v>547</v>
      </c>
      <c r="C1048490" s="55">
        <f t="shared" si="6"/>
        <v>0</v>
      </c>
    </row>
    <row r="1048491" spans="2:3" x14ac:dyDescent="0.35">
      <c r="B1048491" s="54" t="s">
        <v>548</v>
      </c>
      <c r="C1048491" s="55">
        <f t="shared" si="6"/>
        <v>0</v>
      </c>
    </row>
    <row r="1048492" spans="2:3" x14ac:dyDescent="0.35">
      <c r="B1048492" s="54" t="s">
        <v>549</v>
      </c>
      <c r="C1048492" s="56">
        <f t="shared" ca="1" si="6"/>
        <v>46094</v>
      </c>
    </row>
    <row r="1048493" spans="2:3" x14ac:dyDescent="0.35">
      <c r="B1048493" s="54" t="s">
        <v>550</v>
      </c>
      <c r="C1048493" s="56">
        <f t="shared" ca="1" si="6"/>
        <v>46094</v>
      </c>
    </row>
    <row r="1048494" spans="2:3" x14ac:dyDescent="0.35">
      <c r="B1048494" s="54" t="s">
        <v>551</v>
      </c>
      <c r="C1048494" s="55">
        <f t="shared" si="6"/>
        <v>0</v>
      </c>
    </row>
    <row r="1048495" spans="2:3" x14ac:dyDescent="0.35">
      <c r="B1048495" s="54" t="s">
        <v>552</v>
      </c>
      <c r="C1048495" s="55">
        <f t="shared" si="6"/>
        <v>0</v>
      </c>
    </row>
    <row r="1048496" spans="2:3" x14ac:dyDescent="0.35">
      <c r="B1048496" s="54" t="s">
        <v>553</v>
      </c>
      <c r="C1048496" s="55">
        <f t="shared" si="6"/>
        <v>0</v>
      </c>
    </row>
    <row r="1048497" spans="2:3" x14ac:dyDescent="0.35">
      <c r="B1048497" s="54" t="s">
        <v>554</v>
      </c>
      <c r="C1048497" s="55">
        <f>E41</f>
        <v>0</v>
      </c>
    </row>
    <row r="1048498" spans="2:3" x14ac:dyDescent="0.35">
      <c r="B1048498" s="54" t="s">
        <v>555</v>
      </c>
      <c r="C1048498" s="55">
        <f>E42</f>
        <v>0</v>
      </c>
    </row>
    <row r="1048499" spans="2:3" x14ac:dyDescent="0.35">
      <c r="B1048499" s="54" t="s">
        <v>556</v>
      </c>
      <c r="C1048499" s="55">
        <f t="shared" ref="C1048499:C1048502" si="7">E43</f>
        <v>0</v>
      </c>
    </row>
    <row r="1048500" spans="2:3" x14ac:dyDescent="0.35">
      <c r="B1048500" s="54" t="s">
        <v>557</v>
      </c>
      <c r="C1048500" s="55">
        <f t="shared" si="7"/>
        <v>0</v>
      </c>
    </row>
    <row r="1048501" spans="2:3" x14ac:dyDescent="0.35">
      <c r="B1048501" s="54" t="s">
        <v>558</v>
      </c>
      <c r="C1048501" s="55">
        <f t="shared" si="7"/>
        <v>0</v>
      </c>
    </row>
    <row r="1048502" spans="2:3" x14ac:dyDescent="0.35">
      <c r="B1048502" s="54" t="s">
        <v>559</v>
      </c>
      <c r="C1048502" s="55">
        <f t="shared" si="7"/>
        <v>0</v>
      </c>
    </row>
    <row r="1048503" spans="2:3" x14ac:dyDescent="0.35">
      <c r="B1048503" s="54" t="s">
        <v>560</v>
      </c>
      <c r="C1048503" s="55">
        <f>F37</f>
        <v>0</v>
      </c>
    </row>
    <row r="1048504" spans="2:3" x14ac:dyDescent="0.35">
      <c r="B1048504" s="54" t="s">
        <v>561</v>
      </c>
      <c r="C1048504" s="55">
        <f>G41</f>
        <v>0</v>
      </c>
    </row>
    <row r="1048505" spans="2:3" x14ac:dyDescent="0.35">
      <c r="B1048505" s="54" t="s">
        <v>562</v>
      </c>
      <c r="C1048505" s="55">
        <f>G46</f>
        <v>0</v>
      </c>
    </row>
    <row r="1048506" spans="2:3" x14ac:dyDescent="0.35">
      <c r="B1048506" s="54" t="s">
        <v>563</v>
      </c>
      <c r="C1048506" s="55">
        <f>J37</f>
        <v>0</v>
      </c>
    </row>
    <row r="1048507" spans="2:3" x14ac:dyDescent="0.35">
      <c r="B1048507" s="54" t="s">
        <v>564</v>
      </c>
      <c r="C1048507" s="55">
        <f t="shared" ref="C1048507:C1048517" si="8">J38</f>
        <v>0</v>
      </c>
    </row>
    <row r="1048508" spans="2:3" x14ac:dyDescent="0.35">
      <c r="B1048508" s="54" t="s">
        <v>565</v>
      </c>
      <c r="C1048508" s="55">
        <f t="shared" si="8"/>
        <v>0</v>
      </c>
    </row>
    <row r="1048509" spans="2:3" x14ac:dyDescent="0.35">
      <c r="B1048509" s="54" t="s">
        <v>566</v>
      </c>
      <c r="C1048509" s="55">
        <f t="shared" si="8"/>
        <v>0</v>
      </c>
    </row>
    <row r="1048510" spans="2:3" x14ac:dyDescent="0.35">
      <c r="B1048510" s="54" t="s">
        <v>567</v>
      </c>
      <c r="C1048510" s="55">
        <f t="shared" si="8"/>
        <v>0</v>
      </c>
    </row>
    <row r="1048511" spans="2:3" x14ac:dyDescent="0.35">
      <c r="B1048511" s="54" t="s">
        <v>568</v>
      </c>
      <c r="C1048511" s="55">
        <f t="shared" si="8"/>
        <v>0</v>
      </c>
    </row>
    <row r="1048512" spans="2:3" x14ac:dyDescent="0.35">
      <c r="B1048512" s="54" t="s">
        <v>569</v>
      </c>
      <c r="C1048512" s="55">
        <f t="shared" si="8"/>
        <v>0</v>
      </c>
    </row>
    <row r="1048513" spans="2:3" x14ac:dyDescent="0.35">
      <c r="B1048513" s="54" t="s">
        <v>570</v>
      </c>
      <c r="C1048513" s="56">
        <f t="shared" ca="1" si="8"/>
        <v>46094</v>
      </c>
    </row>
    <row r="1048514" spans="2:3" x14ac:dyDescent="0.35">
      <c r="B1048514" s="54" t="s">
        <v>571</v>
      </c>
      <c r="C1048514" s="56">
        <f t="shared" ca="1" si="8"/>
        <v>46094</v>
      </c>
    </row>
    <row r="1048515" spans="2:3" x14ac:dyDescent="0.35">
      <c r="B1048515" s="54" t="s">
        <v>572</v>
      </c>
      <c r="C1048515" s="55">
        <f t="shared" si="8"/>
        <v>0</v>
      </c>
    </row>
    <row r="1048516" spans="2:3" x14ac:dyDescent="0.35">
      <c r="B1048516" s="54" t="s">
        <v>573</v>
      </c>
      <c r="C1048516" s="55">
        <f t="shared" si="8"/>
        <v>0</v>
      </c>
    </row>
    <row r="1048517" spans="2:3" x14ac:dyDescent="0.35">
      <c r="B1048517" s="54" t="s">
        <v>574</v>
      </c>
      <c r="C1048517" s="55">
        <f t="shared" si="8"/>
        <v>0</v>
      </c>
    </row>
    <row r="1048518" spans="2:3" x14ac:dyDescent="0.35">
      <c r="B1048518" s="54" t="s">
        <v>575</v>
      </c>
      <c r="C1048518" s="55">
        <f>L41</f>
        <v>0</v>
      </c>
    </row>
    <row r="1048519" spans="2:3" x14ac:dyDescent="0.35">
      <c r="B1048519" s="54" t="s">
        <v>576</v>
      </c>
      <c r="C1048519" s="55">
        <f t="shared" ref="C1048519:C1048523" si="9">L42</f>
        <v>0</v>
      </c>
    </row>
    <row r="1048520" spans="2:3" x14ac:dyDescent="0.35">
      <c r="B1048520" s="54" t="s">
        <v>577</v>
      </c>
      <c r="C1048520" s="55">
        <f t="shared" si="9"/>
        <v>0</v>
      </c>
    </row>
    <row r="1048521" spans="2:3" x14ac:dyDescent="0.35">
      <c r="B1048521" s="54" t="s">
        <v>578</v>
      </c>
      <c r="C1048521" s="55">
        <f t="shared" si="9"/>
        <v>0</v>
      </c>
    </row>
    <row r="1048522" spans="2:3" x14ac:dyDescent="0.35">
      <c r="B1048522" s="54" t="s">
        <v>579</v>
      </c>
      <c r="C1048522" s="55">
        <f t="shared" si="9"/>
        <v>0</v>
      </c>
    </row>
    <row r="1048523" spans="2:3" x14ac:dyDescent="0.35">
      <c r="B1048523" s="54" t="s">
        <v>580</v>
      </c>
      <c r="C1048523" s="55">
        <f t="shared" si="9"/>
        <v>0</v>
      </c>
    </row>
    <row r="1048524" spans="2:3" x14ac:dyDescent="0.35">
      <c r="B1048524" s="54" t="s">
        <v>581</v>
      </c>
      <c r="C1048524" s="55">
        <f>M37</f>
        <v>0</v>
      </c>
    </row>
    <row r="1048525" spans="2:3" x14ac:dyDescent="0.35">
      <c r="B1048525" s="54" t="s">
        <v>582</v>
      </c>
      <c r="C1048525" s="55">
        <f>N41</f>
        <v>0</v>
      </c>
    </row>
    <row r="1048526" spans="2:3" x14ac:dyDescent="0.35">
      <c r="B1048526" s="54" t="s">
        <v>583</v>
      </c>
      <c r="C1048526" s="55">
        <f>N46</f>
        <v>0</v>
      </c>
    </row>
    <row r="1048527" spans="2:3" x14ac:dyDescent="0.35">
      <c r="B1048527" s="54" t="s">
        <v>584</v>
      </c>
      <c r="C1048527" s="55" t="str">
        <f>C58</f>
        <v>REGULAR</v>
      </c>
    </row>
    <row r="1048528" spans="2:3" x14ac:dyDescent="0.35">
      <c r="B1048528" s="57" t="s">
        <v>585</v>
      </c>
      <c r="C1048528" s="55">
        <f>C60</f>
        <v>0</v>
      </c>
    </row>
    <row r="1048529" spans="2:3" x14ac:dyDescent="0.35">
      <c r="B1048529" s="57" t="s">
        <v>586</v>
      </c>
      <c r="C1048529" s="55" t="str">
        <f>C62</f>
        <v>QTY</v>
      </c>
    </row>
    <row r="1048530" spans="2:3" x14ac:dyDescent="0.35">
      <c r="B1048530" s="54" t="s">
        <v>587</v>
      </c>
      <c r="C1048530" s="55" t="str">
        <f>D62</f>
        <v>L</v>
      </c>
    </row>
    <row r="1048531" spans="2:3" x14ac:dyDescent="0.35">
      <c r="B1048531" s="54" t="s">
        <v>588</v>
      </c>
      <c r="C1048531" s="55" t="str">
        <f>E62</f>
        <v>W</v>
      </c>
    </row>
    <row r="1048532" spans="2:3" x14ac:dyDescent="0.35">
      <c r="B1048532" s="54" t="s">
        <v>589</v>
      </c>
      <c r="C1048532" s="55" t="str">
        <f>F62</f>
        <v>H</v>
      </c>
    </row>
    <row r="1048533" spans="2:3" x14ac:dyDescent="0.35">
      <c r="B1048533" s="54" t="s">
        <v>590</v>
      </c>
      <c r="C1048533" s="55" t="str">
        <f>C64</f>
        <v>YES</v>
      </c>
    </row>
    <row r="1048534" spans="2:3" x14ac:dyDescent="0.35">
      <c r="B1048534" s="54" t="s">
        <v>591</v>
      </c>
      <c r="C1048534" s="55">
        <f>C66</f>
        <v>0</v>
      </c>
    </row>
    <row r="1048535" spans="2:3" x14ac:dyDescent="0.35">
      <c r="B1048535" s="54" t="s">
        <v>592</v>
      </c>
      <c r="C1048535" s="55">
        <f>F60</f>
        <v>0</v>
      </c>
    </row>
    <row r="1048536" spans="2:3" x14ac:dyDescent="0.35">
      <c r="B1048536" s="54" t="s">
        <v>593</v>
      </c>
      <c r="C1048536" s="55">
        <f>F64</f>
        <v>0</v>
      </c>
    </row>
    <row r="1048537" spans="2:3" x14ac:dyDescent="0.35">
      <c r="B1048537" s="54" t="s">
        <v>594</v>
      </c>
      <c r="C1048537" s="55">
        <f>F66</f>
        <v>0</v>
      </c>
    </row>
    <row r="1048538" spans="2:3" x14ac:dyDescent="0.35">
      <c r="B1048538" s="54" t="s">
        <v>595</v>
      </c>
      <c r="C1048538" s="55" t="str">
        <f>I60</f>
        <v>FAK</v>
      </c>
    </row>
    <row r="1048539" spans="2:3" x14ac:dyDescent="0.35">
      <c r="B1048539" s="54" t="s">
        <v>596</v>
      </c>
      <c r="C1048539" s="55">
        <f>I64</f>
        <v>0</v>
      </c>
    </row>
    <row r="1048540" spans="2:3" x14ac:dyDescent="0.35">
      <c r="B1048540" s="54" t="s">
        <v>597</v>
      </c>
      <c r="C1048540" s="55">
        <f>I66</f>
        <v>0</v>
      </c>
    </row>
    <row r="1048541" spans="2:3" x14ac:dyDescent="0.35">
      <c r="B1048541" s="54" t="s">
        <v>598</v>
      </c>
      <c r="C1048541" s="55" t="str">
        <f>L60</f>
        <v>FRIEGHT OF ALL KIND</v>
      </c>
    </row>
    <row r="1048542" spans="2:3" x14ac:dyDescent="0.35">
      <c r="B1048542" s="54" t="s">
        <v>599</v>
      </c>
      <c r="C1048542" s="55">
        <f>L66</f>
        <v>0</v>
      </c>
    </row>
    <row r="1048543" spans="2:3" x14ac:dyDescent="0.35">
      <c r="B1048543" s="54" t="s">
        <v>600</v>
      </c>
      <c r="C1048543" s="55">
        <f>O60</f>
        <v>0</v>
      </c>
    </row>
    <row r="1048544" spans="2:3" x14ac:dyDescent="0.35">
      <c r="B1048544" s="54" t="s">
        <v>601</v>
      </c>
      <c r="C1048544" s="55" t="str">
        <f>M65</f>
        <v>$ AMOUNT</v>
      </c>
    </row>
    <row r="1048545" spans="2:3" x14ac:dyDescent="0.35">
      <c r="B1048545" s="54" t="s">
        <v>602</v>
      </c>
      <c r="C1048545" s="55">
        <f>C70</f>
        <v>0</v>
      </c>
    </row>
    <row r="1048546" spans="2:3" x14ac:dyDescent="0.35">
      <c r="B1048546" s="54" t="s">
        <v>603</v>
      </c>
      <c r="C1048546" s="55">
        <f>C72</f>
        <v>0</v>
      </c>
    </row>
    <row r="1048547" spans="2:3" x14ac:dyDescent="0.35">
      <c r="B1048547" s="54" t="s">
        <v>604</v>
      </c>
      <c r="C1048547" s="55">
        <f>F70</f>
        <v>0</v>
      </c>
    </row>
    <row r="1048548" spans="2:3" x14ac:dyDescent="0.35">
      <c r="B1048548" s="54" t="s">
        <v>605</v>
      </c>
      <c r="C1048548" s="55">
        <f>F72</f>
        <v>0</v>
      </c>
    </row>
    <row r="1048549" spans="2:3" x14ac:dyDescent="0.35">
      <c r="B1048549" s="54" t="s">
        <v>606</v>
      </c>
      <c r="C1048549" s="55">
        <f>I70</f>
        <v>0</v>
      </c>
    </row>
    <row r="1048550" spans="2:3" x14ac:dyDescent="0.35">
      <c r="B1048550" s="54" t="s">
        <v>607</v>
      </c>
      <c r="C1048550" s="55">
        <f>I72</f>
        <v>0</v>
      </c>
    </row>
    <row r="1048551" spans="2:3" x14ac:dyDescent="0.35">
      <c r="B1048551" s="54" t="s">
        <v>608</v>
      </c>
      <c r="C1048551" s="55">
        <f>L70</f>
        <v>0</v>
      </c>
    </row>
    <row r="1048552" spans="2:3" x14ac:dyDescent="0.35">
      <c r="B1048552" s="54" t="s">
        <v>609</v>
      </c>
      <c r="C1048552" s="55">
        <f>L72</f>
        <v>0</v>
      </c>
    </row>
    <row r="1048553" spans="2:3" x14ac:dyDescent="0.35">
      <c r="B1048553" s="54" t="s">
        <v>610</v>
      </c>
      <c r="C1048553" s="55">
        <f>C79</f>
        <v>0</v>
      </c>
    </row>
    <row r="1048554" spans="2:3" x14ac:dyDescent="0.35">
      <c r="B1048554" s="54" t="s">
        <v>611</v>
      </c>
      <c r="C1048554" s="55">
        <f>C81</f>
        <v>0</v>
      </c>
    </row>
    <row r="1048555" spans="2:3" x14ac:dyDescent="0.35">
      <c r="B1048555" s="54" t="s">
        <v>612</v>
      </c>
      <c r="C1048555" s="55">
        <f>C83</f>
        <v>0</v>
      </c>
    </row>
    <row r="1048556" spans="2:3" x14ac:dyDescent="0.35">
      <c r="B1048556" s="54" t="s">
        <v>613</v>
      </c>
      <c r="C1048556" s="55">
        <f>F79</f>
        <v>0</v>
      </c>
    </row>
    <row r="1048557" spans="2:3" x14ac:dyDescent="0.35">
      <c r="B1048557" s="54" t="s">
        <v>614</v>
      </c>
      <c r="C1048557" s="55">
        <f>F81</f>
        <v>0</v>
      </c>
    </row>
    <row r="1048558" spans="2:3" x14ac:dyDescent="0.35">
      <c r="B1048558" s="54" t="s">
        <v>615</v>
      </c>
      <c r="C1048558" s="55">
        <f>J79</f>
        <v>0</v>
      </c>
    </row>
    <row r="1048559" spans="2:3" x14ac:dyDescent="0.35">
      <c r="B1048559" s="54" t="s">
        <v>616</v>
      </c>
      <c r="C1048559" s="55">
        <f>J81</f>
        <v>0</v>
      </c>
    </row>
    <row r="1048560" spans="2:3" x14ac:dyDescent="0.35">
      <c r="B1048560" s="54" t="s">
        <v>617</v>
      </c>
      <c r="C1048560" s="55">
        <f>J83</f>
        <v>0</v>
      </c>
    </row>
    <row r="1048561" spans="2:3" x14ac:dyDescent="0.35">
      <c r="B1048561" s="54" t="s">
        <v>618</v>
      </c>
      <c r="C1048561" s="55">
        <f>M79</f>
        <v>0</v>
      </c>
    </row>
    <row r="1048562" spans="2:3" x14ac:dyDescent="0.35">
      <c r="B1048562" s="54" t="s">
        <v>619</v>
      </c>
      <c r="C1048562" s="55">
        <f>M81</f>
        <v>0</v>
      </c>
    </row>
    <row r="1048563" spans="2:3" x14ac:dyDescent="0.35">
      <c r="B1048563" s="54" t="s">
        <v>620</v>
      </c>
      <c r="C1048563" s="55">
        <f>C87</f>
        <v>0</v>
      </c>
    </row>
    <row r="1048564" spans="2:3" x14ac:dyDescent="0.35">
      <c r="B1048564" s="54" t="s">
        <v>621</v>
      </c>
      <c r="C1048564" s="55">
        <f>C89</f>
        <v>0</v>
      </c>
    </row>
    <row r="1048565" spans="2:3" x14ac:dyDescent="0.35">
      <c r="B1048565" s="54" t="s">
        <v>622</v>
      </c>
      <c r="C1048565" s="55">
        <f>C91</f>
        <v>0</v>
      </c>
    </row>
    <row r="1048566" spans="2:3" x14ac:dyDescent="0.35">
      <c r="B1048566" s="54" t="s">
        <v>623</v>
      </c>
      <c r="C1048566" s="55">
        <f>C99</f>
        <v>0</v>
      </c>
    </row>
    <row r="1048567" spans="2:3" x14ac:dyDescent="0.35">
      <c r="B1048567" s="54" t="s">
        <v>624</v>
      </c>
      <c r="C1048567" s="55">
        <f>C103</f>
        <v>0</v>
      </c>
    </row>
    <row r="1048568" spans="2:3" x14ac:dyDescent="0.35">
      <c r="B1048568" s="54" t="s">
        <v>625</v>
      </c>
      <c r="C1048568" s="55">
        <f t="shared" ref="C1048568:C1048570" si="10">C104</f>
        <v>0</v>
      </c>
    </row>
    <row r="1048569" spans="2:3" x14ac:dyDescent="0.35">
      <c r="B1048569" s="54" t="s">
        <v>626</v>
      </c>
      <c r="C1048569" s="55">
        <f t="shared" si="10"/>
        <v>0</v>
      </c>
    </row>
    <row r="1048570" spans="2:3" x14ac:dyDescent="0.35">
      <c r="B1048570" s="54" t="s">
        <v>627</v>
      </c>
      <c r="C1048570" s="55">
        <f t="shared" si="10"/>
        <v>0</v>
      </c>
    </row>
    <row r="1048571" spans="2:3" x14ac:dyDescent="0.35">
      <c r="B1048571" s="54" t="s">
        <v>628</v>
      </c>
      <c r="C1048571" s="55">
        <f>F103</f>
        <v>0</v>
      </c>
    </row>
    <row r="1048572" spans="2:3" x14ac:dyDescent="0.35">
      <c r="B1048572" s="54" t="s">
        <v>629</v>
      </c>
      <c r="C1048572" s="55">
        <f>F105</f>
        <v>0</v>
      </c>
    </row>
    <row r="1048573" spans="2:3" x14ac:dyDescent="0.35">
      <c r="B1048573" s="54" t="s">
        <v>630</v>
      </c>
      <c r="C1048573" s="55">
        <f>J103</f>
        <v>0</v>
      </c>
    </row>
  </sheetData>
  <mergeCells count="17">
    <mergeCell ref="B36:G36"/>
    <mergeCell ref="I36:N36"/>
    <mergeCell ref="B6:M6"/>
    <mergeCell ref="E1:J1"/>
    <mergeCell ref="C14:F14"/>
    <mergeCell ref="C26:F26"/>
    <mergeCell ref="I12:N12"/>
    <mergeCell ref="B12:G12"/>
    <mergeCell ref="B24:G24"/>
    <mergeCell ref="B102:M102"/>
    <mergeCell ref="B86:M86"/>
    <mergeCell ref="J39:M39"/>
    <mergeCell ref="B69:M69"/>
    <mergeCell ref="I78:M78"/>
    <mergeCell ref="B78:F78"/>
    <mergeCell ref="C39:F39"/>
    <mergeCell ref="B57:O57"/>
  </mergeCells>
  <phoneticPr fontId="11" type="noConversion"/>
  <dataValidations count="7">
    <dataValidation type="date" sqref="F72" xr:uid="{00000000-0002-0000-0000-000017000000}"/>
    <dataValidation type="time" sqref="E44:E45 L44:L45" xr:uid="{00000000-0002-0000-0000-00001A000000}"/>
    <dataValidation type="decimal" sqref="F64 I64 M66 C62:F62 C60" xr:uid="{00000000-0002-0000-0000-00001E000000}"/>
    <dataValidation type="list" showErrorMessage="1" sqref="M37 F37" xr:uid="{00000000-0002-0000-0000-000001000000}">
      <formula1>"JOBSITE,RESIDENTIAL,SEASONAL"</formula1>
    </dataValidation>
    <dataValidation type="list" allowBlank="1" showInputMessage="1" showErrorMessage="1" sqref="F4" xr:uid="{7F2E776B-3E6E-41AE-A89C-ED1E68E0FAA9}">
      <formula1>"SINGLE,MULTIPLE,DE-STUFF,EXTRA-STOP"</formula1>
    </dataValidation>
    <dataValidation type="list" allowBlank="1" showInputMessage="1" showErrorMessage="1" sqref="I7" xr:uid="{1DFE2A81-7423-410E-85C3-1E27FEB8E160}">
      <formula1>"CANADIAN DOLLARS,US DOLLARS"</formula1>
    </dataValidation>
    <dataValidation type="list" allowBlank="1" showInputMessage="1" showErrorMessage="1" sqref="J46 C46 E46 G46 L46 N46" xr:uid="{53F5E1F1-A74C-46B6-9DC7-B0F095531C34}">
      <formula1>"YES,NO"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" r:id="rId4" name="Button 143">
              <controlPr defaultSize="0" print="0" autoFill="0" autoPict="0" macro="[0]!Savemacro14">
                <anchor moveWithCells="1" sizeWithCells="1">
                  <from>
                    <xdr:col>1</xdr:col>
                    <xdr:colOff>482600</xdr:colOff>
                    <xdr:row>93</xdr:row>
                    <xdr:rowOff>177800</xdr:rowOff>
                  </from>
                  <to>
                    <xdr:col>1</xdr:col>
                    <xdr:colOff>2273300</xdr:colOff>
                    <xdr:row>95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5" name="Button 144">
              <controlPr defaultSize="0" print="0" autoFill="0" autoPict="0" macro="[0]!CheckRequiredCells14">
                <anchor moveWithCells="1" sizeWithCells="1">
                  <from>
                    <xdr:col>4</xdr:col>
                    <xdr:colOff>25400</xdr:colOff>
                    <xdr:row>93</xdr:row>
                    <xdr:rowOff>177800</xdr:rowOff>
                  </from>
                  <to>
                    <xdr:col>4</xdr:col>
                    <xdr:colOff>1816100</xdr:colOff>
                    <xdr:row>95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6" name="Button 162">
              <controlPr defaultSize="0" print="0" autoFill="0" autoPict="0" macro="[0]!Savemacro14">
                <anchor moveWithCells="1" sizeWithCells="1">
                  <from>
                    <xdr:col>1</xdr:col>
                    <xdr:colOff>425450</xdr:colOff>
                    <xdr:row>108</xdr:row>
                    <xdr:rowOff>6350</xdr:rowOff>
                  </from>
                  <to>
                    <xdr:col>1</xdr:col>
                    <xdr:colOff>2197100</xdr:colOff>
                    <xdr:row>109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7" name="Button 175">
              <controlPr defaultSize="0" print="0" autoFill="0" autoPict="0" macro="[0]!Button175_Click">
                <anchor moveWithCells="1" sizeWithCells="1">
                  <from>
                    <xdr:col>4</xdr:col>
                    <xdr:colOff>76200</xdr:colOff>
                    <xdr:row>108</xdr:row>
                    <xdr:rowOff>25400</xdr:rowOff>
                  </from>
                  <to>
                    <xdr:col>4</xdr:col>
                    <xdr:colOff>1822450</xdr:colOff>
                    <xdr:row>109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8" name="Button 264">
              <controlPr defaultSize="0" print="0" autoFill="0" autoPict="0" macro="[0]!Reset1">
                <anchor moveWithCells="1" sizeWithCells="1">
                  <from>
                    <xdr:col>6</xdr:col>
                    <xdr:colOff>749300</xdr:colOff>
                    <xdr:row>185</xdr:row>
                    <xdr:rowOff>107950</xdr:rowOff>
                  </from>
                  <to>
                    <xdr:col>7</xdr:col>
                    <xdr:colOff>558800</xdr:colOff>
                    <xdr:row>187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9" name="Button 308">
              <controlPr defaultSize="0" print="0" autoFill="0" autoPict="0" macro="[0]!Resetmacro14">
                <anchor moveWithCells="1" sizeWithCells="1">
                  <from>
                    <xdr:col>2</xdr:col>
                    <xdr:colOff>114300</xdr:colOff>
                    <xdr:row>93</xdr:row>
                    <xdr:rowOff>177800</xdr:rowOff>
                  </from>
                  <to>
                    <xdr:col>3</xdr:col>
                    <xdr:colOff>457200</xdr:colOff>
                    <xdr:row>95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8" stopIfTrue="1" id="{BCD1B339-FD8C-4B2D-815C-4E96F2DBCC68}">
            <xm:f>INDEX(Config!G2:G70, MATCH("C5", Config!B2:B70, 0))</xm:f>
            <x14:dxf>
              <fill>
                <patternFill patternType="solid">
                  <fgColor rgb="FFFDEDEE"/>
                </patternFill>
              </fill>
            </x14:dxf>
          </x14:cfRule>
          <xm:sqref>C4</xm:sqref>
        </x14:conditionalFormatting>
        <x14:conditionalFormatting xmlns:xm="http://schemas.microsoft.com/office/excel/2006/main">
          <x14:cfRule type="expression" priority="2366" stopIfTrue="1" id="{00000000-000E-0000-0000-00003E000000}">
            <xm:f>INDEX(Config!G15:G83, MATCH("C61", Config!B15:B83, 0))</xm:f>
            <x14:dxf>
              <fill>
                <patternFill patternType="solid">
                  <fgColor rgb="FFFDEDEE"/>
                </patternFill>
              </fill>
            </x14:dxf>
          </x14:cfRule>
          <xm:sqref>C7</xm:sqref>
        </x14:conditionalFormatting>
        <x14:conditionalFormatting xmlns:xm="http://schemas.microsoft.com/office/excel/2006/main">
          <x14:cfRule type="expression" priority="1244" stopIfTrue="1" id="{00000000-000E-0000-0000-00000A000000}">
            <xm:f>INDEX(Config!G68:G1048576, MATCH("C10", Config!B68:B1048576, 0))</xm:f>
            <x14:dxf>
              <fill>
                <patternFill patternType="solid">
                  <fgColor rgb="FFFDEDEE"/>
                </patternFill>
              </fill>
            </x14:dxf>
          </x14:cfRule>
          <xm:sqref>C13 J13</xm:sqref>
        </x14:conditionalFormatting>
        <x14:conditionalFormatting xmlns:xm="http://schemas.microsoft.com/office/excel/2006/main">
          <x14:cfRule type="expression" priority="1229" stopIfTrue="1" id="{00000000-000E-0000-0000-00000A000000}">
            <xm:f>INDEX(Config!G16:G84, MATCH("C10", Config!B16:B84, 0))</xm:f>
            <x14:dxf>
              <fill>
                <patternFill patternType="solid">
                  <fgColor rgb="FFFDEDEE"/>
                </patternFill>
              </fill>
            </x14:dxf>
          </x14:cfRule>
          <xm:sqref>J37 C37</xm:sqref>
        </x14:conditionalFormatting>
        <x14:conditionalFormatting xmlns:xm="http://schemas.microsoft.com/office/excel/2006/main">
          <x14:cfRule type="expression" priority="1231" stopIfTrue="1" id="{7DD3F18C-1B81-4A28-B891-D64A6C048AAC}">
            <xm:f>INDEX(Config!I25:I93, MATCH("C10", Config!D25:D93, 0))</xm:f>
            <x14:dxf>
              <fill>
                <patternFill patternType="solid">
                  <fgColor rgb="FFFDEDEE"/>
                </patternFill>
              </fill>
            </x14:dxf>
          </x14:cfRule>
          <xm:sqref>C43 E43 J43 L43</xm:sqref>
        </x14:conditionalFormatting>
        <x14:conditionalFormatting xmlns:xm="http://schemas.microsoft.com/office/excel/2006/main">
          <x14:cfRule type="expression" priority="67" stopIfTrue="1" id="{94555497-D3CD-44CD-BFB9-630B438E846F}">
            <xm:f>INDEX(Config!G9:G77, MATCH("C10", Config!B9:B77, 0))</xm:f>
            <x14:dxf>
              <fill>
                <patternFill patternType="solid">
                  <fgColor rgb="FFFDEDEE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expression" priority="753" stopIfTrue="1" id="{00000000-000E-0000-0000-000009000000}">
            <xm:f>INDEX(Config!G10:G78, MATCH("C9", Config!B10:B78, 0))</xm:f>
            <x14:dxf>
              <fill>
                <patternFill patternType="solid">
                  <fgColor rgb="FFFDEDEE"/>
                </patternFill>
              </fill>
            </x14:dxf>
          </x14:cfRule>
          <xm:sqref>C26:C27 E28 G28 J48 C48</xm:sqref>
        </x14:conditionalFormatting>
        <x14:conditionalFormatting xmlns:xm="http://schemas.microsoft.com/office/excel/2006/main">
          <x14:cfRule type="expression" priority="197" stopIfTrue="1" id="{00000000-000E-0000-0000-000009000000}">
            <xm:f>INDEX(Config!G18:G86, MATCH("C9", Config!B18:B86, 0))</xm:f>
            <x14:dxf>
              <fill>
                <patternFill patternType="solid">
                  <fgColor rgb="FFFDEDEE"/>
                </patternFill>
              </fill>
            </x14:dxf>
          </x14:cfRule>
          <xm:sqref>C39:C40 E41 G41 L41 N41 J39:J40</xm:sqref>
        </x14:conditionalFormatting>
        <x14:conditionalFormatting xmlns:xm="http://schemas.microsoft.com/office/excel/2006/main">
          <x14:cfRule type="expression" priority="432" stopIfTrue="1" id="{00000000-000E-0000-0000-00000A000000}">
            <xm:f>INDEX(Config!G18:G86, MATCH("C10", Config!B18:B86, 0))</xm:f>
            <x14:dxf>
              <fill>
                <patternFill patternType="solid">
                  <fgColor rgb="FFFDEDEE"/>
                </patternFill>
              </fill>
            </x14:dxf>
          </x14:cfRule>
          <xm:sqref>C42 J42</xm:sqref>
        </x14:conditionalFormatting>
        <x14:conditionalFormatting xmlns:xm="http://schemas.microsoft.com/office/excel/2006/main">
          <x14:cfRule type="expression" priority="637" stopIfTrue="1" id="{00000000-000E-0000-0000-000011000000}">
            <xm:f>INDEX(Config!G3:G71, MATCH("C20", Config!B3:B71, 0))</xm:f>
            <x14:dxf>
              <fill>
                <patternFill patternType="solid">
                  <fgColor rgb="FFFDEDEE"/>
                </patternFill>
              </fill>
            </x14:dxf>
          </x14:cfRule>
          <xm:sqref>C44:C45 J44:J45</xm:sqref>
        </x14:conditionalFormatting>
        <x14:conditionalFormatting xmlns:xm="http://schemas.microsoft.com/office/excel/2006/main">
          <x14:cfRule type="expression" priority="141" stopIfTrue="1" id="{7E6F9691-42EF-4EB8-8CC4-F282817FF234}">
            <xm:f>INDEX(Config!D40:D108, MATCH("J61", Config!XFC40:XFC108, 0))</xm:f>
            <x14:dxf>
              <fill>
                <patternFill patternType="solid">
                  <fgColor rgb="FFFDEDEE"/>
                </patternFill>
              </fill>
            </x14:dxf>
          </x14:cfRule>
          <xm:sqref>C46 E46 G46 J46 N46 L46</xm:sqref>
        </x14:conditionalFormatting>
        <x14:conditionalFormatting xmlns:xm="http://schemas.microsoft.com/office/excel/2006/main">
          <x14:cfRule type="expression" priority="871" stopIfTrue="1" id="{00000000-000E-0000-0000-000011000000}">
            <xm:f>INDEX(Config!G5:G73, MATCH("C20", Config!B5:B73, 0))</xm:f>
            <x14:dxf>
              <fill>
                <patternFill patternType="solid">
                  <fgColor rgb="FFFDEDEE"/>
                </patternFill>
              </fill>
            </x14:dxf>
          </x14:cfRule>
          <xm:sqref>C47 J47</xm:sqref>
        </x14:conditionalFormatting>
        <x14:conditionalFormatting xmlns:xm="http://schemas.microsoft.com/office/excel/2006/main">
          <x14:cfRule type="expression" priority="72" stopIfTrue="1" id="{58C82F8E-EBEC-4AF9-9259-5613721240D8}">
            <xm:f>INDEX(Config!A20:A88, MATCH("L62", Config!XEZ20:XEZ88, 0))</xm:f>
            <x14:dxf>
              <fill>
                <patternFill patternType="solid">
                  <fgColor rgb="FFFDEDEE"/>
                </patternFill>
              </fill>
            </x14:dxf>
          </x14:cfRule>
          <xm:sqref>C58</xm:sqref>
        </x14:conditionalFormatting>
        <x14:conditionalFormatting xmlns:xm="http://schemas.microsoft.com/office/excel/2006/main">
          <x14:cfRule type="expression" priority="233" stopIfTrue="1" id="{00000000-000E-0000-0000-00002D000000}">
            <xm:f>INDEX(Config!G16:G84, MATCH("F44", Config!B16:B84, 0))</xm:f>
            <x14:dxf>
              <fill>
                <patternFill patternType="solid">
                  <fgColor rgb="FFFDEDEE"/>
                </patternFill>
              </fill>
            </x14:dxf>
          </x14:cfRule>
          <xm:sqref>C64</xm:sqref>
        </x14:conditionalFormatting>
        <x14:conditionalFormatting xmlns:xm="http://schemas.microsoft.com/office/excel/2006/main">
          <x14:cfRule type="expression" priority="157" stopIfTrue="1" id="{93C6496A-E6D8-4C27-A138-39920F57E7AC}">
            <xm:f>INDEX(Config!P18:P86, MATCH("C44", Config!K18:K86, 0))</xm:f>
            <x14:dxf>
              <fill>
                <patternFill patternType="solid">
                  <fgColor rgb="FFFDEDEE"/>
                </patternFill>
              </fill>
            </x14:dxf>
          </x14:cfRule>
          <xm:sqref>C66</xm:sqref>
        </x14:conditionalFormatting>
        <x14:conditionalFormatting xmlns:xm="http://schemas.microsoft.com/office/excel/2006/main">
          <x14:cfRule type="expression" priority="1393" stopIfTrue="1" id="{00000000-000E-0000-0000-000041000000}">
            <xm:f>INDEX(Config!F2:F70, MATCH("J61", Config!A2:A70, 0))</xm:f>
            <x14:dxf>
              <fill>
                <patternFill patternType="solid">
                  <fgColor rgb="FFFDEDEE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expression" priority="943" stopIfTrue="1" id="{00000000-000E-0000-0000-00003F000000}">
            <xm:f>INDEX(Config!I4:I72, MATCH("F61", Config!D4:D72, 0))</xm:f>
            <x14:dxf>
              <fill>
                <patternFill patternType="solid">
                  <fgColor rgb="FFFDEDEE"/>
                </patternFill>
              </fill>
            </x14:dxf>
          </x14:cfRule>
          <xm:sqref>C72</xm:sqref>
        </x14:conditionalFormatting>
        <x14:conditionalFormatting xmlns:xm="http://schemas.microsoft.com/office/excel/2006/main">
          <x14:cfRule type="expression" priority="896" stopIfTrue="1" id="{61B1D1F9-E9B5-42F5-A74A-FA17D1EA12A3}">
            <xm:f>INDEX(Config!A9:A77, MATCH("I42", Config!XEZ9:XEZ77, 0))</xm:f>
            <x14:dxf>
              <fill>
                <patternFill patternType="solid">
                  <fgColor rgb="FFFDEDEE"/>
                </patternFill>
              </fill>
            </x14:dxf>
          </x14:cfRule>
          <xm:sqref>C79 J79</xm:sqref>
        </x14:conditionalFormatting>
        <x14:conditionalFormatting xmlns:xm="http://schemas.microsoft.com/office/excel/2006/main">
          <x14:cfRule type="expression" priority="49" stopIfTrue="1" id="{B5FC00C5-3A1F-4A8E-B1D8-B9DD1B6CF829}">
            <xm:f>INDEX(Config!G62:G1048570, MATCH("C73", Config!B62:B1048570, 0))</xm:f>
            <x14:dxf>
              <fill>
                <patternFill patternType="solid">
                  <fgColor rgb="FFFDEDEE"/>
                </patternFill>
              </fill>
            </x14:dxf>
          </x14:cfRule>
          <xm:sqref>C83 J83</xm:sqref>
        </x14:conditionalFormatting>
        <x14:conditionalFormatting xmlns:xm="http://schemas.microsoft.com/office/excel/2006/main">
          <x14:cfRule type="expression" priority="2002" stopIfTrue="1" id="{00000000-000E-0000-0000-000044000000}">
            <xm:f>INDEX(Config!L6:L74, MATCH("C69", Config!G6:G74, 0))</xm:f>
            <x14:dxf>
              <fill>
                <patternFill patternType="solid">
                  <fgColor rgb="FFFDEDEE"/>
                </patternFill>
              </fill>
            </x14:dxf>
          </x14:cfRule>
          <xm:sqref>C91</xm:sqref>
        </x14:conditionalFormatting>
        <x14:conditionalFormatting xmlns:xm="http://schemas.microsoft.com/office/excel/2006/main">
          <x14:cfRule type="expression" priority="256" stopIfTrue="1" id="{00000000-000E-0000-0000-000044000000}">
            <xm:f>INDEX(Config!G10:G78, MATCH("C69", Config!B10:B78, 0))</xm:f>
            <x14:dxf>
              <fill>
                <patternFill patternType="solid">
                  <fgColor rgb="FFFDEDEE"/>
                </patternFill>
              </fill>
            </x14:dxf>
          </x14:cfRule>
          <xm:sqref>C89</xm:sqref>
        </x14:conditionalFormatting>
        <x14:conditionalFormatting xmlns:xm="http://schemas.microsoft.com/office/excel/2006/main">
          <x14:cfRule type="expression" priority="250" stopIfTrue="1" id="{00000000-000E-0000-0000-00003E000000}">
            <xm:f>INDEX(Config!I18:I86, MATCH("C61", Config!D18:D86, 0))</xm:f>
            <x14:dxf>
              <fill>
                <patternFill patternType="solid">
                  <fgColor rgb="FFFDEDEE"/>
                </patternFill>
              </fill>
            </x14:dxf>
          </x14:cfRule>
          <xm:sqref>C103:C106 B99</xm:sqref>
        </x14:conditionalFormatting>
        <x14:conditionalFormatting xmlns:xm="http://schemas.microsoft.com/office/excel/2006/main">
          <x14:cfRule type="expression" priority="1436" stopIfTrue="1" id="{DB71FAD1-9E8E-46DE-8556-C14FF0CAE3C5}">
            <xm:f>INDEX(Config!D14:D82, MATCH("F46", Config!XFC14:XFC82, 0))</xm:f>
            <x14:dxf>
              <fill>
                <patternFill patternType="solid">
                  <fgColor rgb="FFFDEDEE"/>
                </patternFill>
              </fill>
            </x14:dxf>
          </x14:cfRule>
          <xm:sqref>C62:D62</xm:sqref>
        </x14:conditionalFormatting>
        <x14:conditionalFormatting xmlns:xm="http://schemas.microsoft.com/office/excel/2006/main">
          <x14:cfRule type="expression" priority="1236" stopIfTrue="1" id="{85DF54EA-DD04-42BC-A962-E4052BEE6924}">
            <xm:f>INDEX(Config!J5:J73, MATCH("C9", Config!E5:E73, 0))</xm:f>
            <x14:dxf>
              <fill>
                <patternFill patternType="solid">
                  <fgColor rgb="FFFDEDEE"/>
                </patternFill>
              </fill>
            </x14:dxf>
          </x14:cfRule>
          <xm:sqref>E17 L17</xm:sqref>
        </x14:conditionalFormatting>
        <x14:conditionalFormatting xmlns:xm="http://schemas.microsoft.com/office/excel/2006/main">
          <x14:cfRule type="expression" priority="785" stopIfTrue="1" id="{85DF54EA-DD04-42BC-A962-E4052BEE6924}">
            <xm:f>INDEX(Config!J13:J81, MATCH("C9", Config!E13:E81, 0))</xm:f>
            <x14:dxf>
              <fill>
                <patternFill patternType="solid">
                  <fgColor rgb="FFFDEDEE"/>
                </patternFill>
              </fill>
            </x14:dxf>
          </x14:cfRule>
          <xm:sqref>E29</xm:sqref>
        </x14:conditionalFormatting>
        <x14:conditionalFormatting xmlns:xm="http://schemas.microsoft.com/office/excel/2006/main">
          <x14:cfRule type="expression" priority="133" stopIfTrue="1" id="{85DF54EA-DD04-42BC-A962-E4052BEE6924}">
            <xm:f>INDEX(Config!J21:J89, MATCH("C9", Config!E21:E89, 0))</xm:f>
            <x14:dxf>
              <fill>
                <patternFill patternType="solid">
                  <fgColor rgb="FFFDEDEE"/>
                </patternFill>
              </fill>
            </x14:dxf>
          </x14:cfRule>
          <xm:sqref>E42 L42</xm:sqref>
        </x14:conditionalFormatting>
        <x14:conditionalFormatting xmlns:xm="http://schemas.microsoft.com/office/excel/2006/main">
          <x14:cfRule type="expression" priority="217" stopIfTrue="1" id="{00000000-000E-0000-0000-00001D000000}">
            <xm:f>INDEX(Config!G61:G1048569, MATCH("L13", Config!B61:B1048569, 0))</xm:f>
            <x14:dxf>
              <fill>
                <patternFill patternType="solid">
                  <fgColor rgb="FFFDEDEE"/>
                </patternFill>
              </fill>
            </x14:dxf>
          </x14:cfRule>
          <xm:sqref>L44:L45 E44:E45</xm:sqref>
        </x14:conditionalFormatting>
        <x14:conditionalFormatting xmlns:xm="http://schemas.microsoft.com/office/excel/2006/main">
          <x14:cfRule type="expression" priority="159" stopIfTrue="1" id="{D64D2551-DAB4-4564-A766-14A54FAB0A74}">
            <xm:f>INDEX(Config!E14:E82, MATCH("G46", Config!XFD14:XFD82, 0))</xm:f>
            <x14:dxf>
              <fill>
                <patternFill patternType="solid">
                  <fgColor rgb="FFFDEDEE"/>
                </patternFill>
              </fill>
            </x14:dxf>
          </x14:cfRule>
          <xm:sqref>E62</xm:sqref>
        </x14:conditionalFormatting>
        <x14:conditionalFormatting xmlns:xm="http://schemas.microsoft.com/office/excel/2006/main">
          <x14:cfRule type="expression" priority="2147" stopIfTrue="1" id="{25154AE3-39DB-44B3-B477-69D8EC910132}">
            <xm:f>INDEX(Config!N18:N86, MATCH("C57", Config!I18:I86, 0))</xm:f>
            <x14:dxf>
              <fill>
                <patternFill patternType="solid">
                  <fgColor rgb="FFFDEDEE"/>
                </patternFill>
              </fill>
            </x14:dxf>
          </x14:cfRule>
          <x14:cfRule type="expression" priority="2148" stopIfTrue="1" id="{00000000-000E-0000-0000-000041000000}">
            <xm:f>INDEX(Config!H15:H83, MATCH("J61", Config!C15:C83, 0))</xm:f>
            <x14:dxf>
              <fill>
                <patternFill patternType="solid">
                  <fgColor rgb="FFFDEDEE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214" stopIfTrue="1" id="{00000000-000E-0000-0000-00001A000000}">
            <xm:f>INDEX(Config!D2:D70, MATCH("I11", Config!XFC2:XFC70, 0))</xm:f>
            <x14:dxf>
              <fill>
                <patternFill patternType="solid">
                  <fgColor rgb="FFFDEDEE"/>
                </patternFill>
              </fill>
            </x14:dxf>
          </x14:cfRule>
          <xm:sqref>F37 M37 C38 C41 J38 J41</xm:sqref>
        </x14:conditionalFormatting>
        <x14:conditionalFormatting xmlns:xm="http://schemas.microsoft.com/office/excel/2006/main">
          <x14:cfRule type="expression" priority="1924" stopIfTrue="1" id="{00000000-000E-0000-0000-000029000000}">
            <xm:f>INDEX(Config!G16:G84, MATCH("F42", Config!B16:B84, 0))</xm:f>
            <x14:dxf>
              <fill>
                <patternFill patternType="solid">
                  <fgColor rgb="FFFDEDEE"/>
                </patternFill>
              </fill>
            </x14:dxf>
          </x14:cfRule>
          <xm:sqref>F60</xm:sqref>
        </x14:conditionalFormatting>
        <x14:conditionalFormatting xmlns:xm="http://schemas.microsoft.com/office/excel/2006/main">
          <x14:cfRule type="expression" priority="160" stopIfTrue="1" id="{F2853D14-0C8F-49E8-B4DE-C753D23DD29B}">
            <xm:f>INDEX(Config!E14:E82, MATCH("H46", Config!XFD14:XFD82, 0))</xm:f>
            <x14:dxf>
              <fill>
                <patternFill patternType="solid">
                  <fgColor rgb="FFFDEDEE"/>
                </patternFill>
              </fill>
            </x14:dxf>
          </x14:cfRule>
          <xm:sqref>F62</xm:sqref>
        </x14:conditionalFormatting>
        <x14:conditionalFormatting xmlns:xm="http://schemas.microsoft.com/office/excel/2006/main">
          <x14:cfRule type="expression" priority="1640" stopIfTrue="1" id="{DB71FAD1-9E8E-46DE-8556-C14FF0CAE3C5}">
            <xm:f>INDEX(Config!D16:D84, MATCH("F46", Config!XFC16:XFC84, 0))</xm:f>
            <x14:dxf>
              <fill>
                <patternFill patternType="solid">
                  <fgColor rgb="FFFDEDEE"/>
                </patternFill>
              </fill>
            </x14:dxf>
          </x14:cfRule>
          <xm:sqref>F64</xm:sqref>
        </x14:conditionalFormatting>
        <x14:conditionalFormatting xmlns:xm="http://schemas.microsoft.com/office/excel/2006/main">
          <x14:cfRule type="expression" priority="155" stopIfTrue="1" id="{E87D9D7D-10D2-460E-BF34-8CC8AAD59259}">
            <xm:f>INDEX(Config!F20:F88, MATCH("K42", Config!A20:A88, 0))</xm:f>
            <x14:dxf>
              <fill>
                <patternFill patternType="solid">
                  <fgColor rgb="FFFDEDEE"/>
                </patternFill>
              </fill>
            </x14:dxf>
          </x14:cfRule>
          <xm:sqref>F66</xm:sqref>
        </x14:conditionalFormatting>
        <x14:conditionalFormatting xmlns:xm="http://schemas.microsoft.com/office/excel/2006/main">
          <x14:cfRule type="expression" priority="1002" stopIfTrue="1" id="{00000000-000E-0000-0000-000041000000}">
            <xm:f>INDEX(Config!H2:H70, MATCH("J61", Config!C2:C70, 0))</xm:f>
            <x14:dxf>
              <fill>
                <patternFill patternType="solid">
                  <fgColor rgb="FFFDEDEE"/>
                </patternFill>
              </fill>
            </x14:dxf>
          </x14:cfRule>
          <xm:sqref>F70</xm:sqref>
        </x14:conditionalFormatting>
        <x14:conditionalFormatting xmlns:xm="http://schemas.microsoft.com/office/excel/2006/main">
          <x14:cfRule type="expression" priority="254" stopIfTrue="1" id="{00000000-000E-0000-0000-000042000000}">
            <xm:f>INDEX(Config!G2:G70, MATCH("C63", Config!B2:B70, 0))</xm:f>
            <x14:dxf>
              <fill>
                <patternFill patternType="solid">
                  <fgColor rgb="FFFDEDEE"/>
                </patternFill>
              </fill>
            </x14:dxf>
          </x14:cfRule>
          <xm:sqref>F72</xm:sqref>
        </x14:conditionalFormatting>
        <x14:conditionalFormatting xmlns:xm="http://schemas.microsoft.com/office/excel/2006/main">
          <x14:cfRule type="expression" priority="246" stopIfTrue="1" id="{00000000-000E-0000-0000-00003A000000}">
            <xm:f>INDEX(Config!XFB2:XFB70, MATCH("K53", Config!XEW2:XEW70, 0))</xm:f>
            <x14:dxf>
              <fill>
                <patternFill patternType="solid">
                  <fgColor rgb="FFFDEDEE"/>
                </patternFill>
              </fill>
            </x14:dxf>
          </x14:cfRule>
          <xm:sqref>F79 M79 C81 F81 J81 M81</xm:sqref>
        </x14:conditionalFormatting>
        <x14:conditionalFormatting xmlns:xm="http://schemas.microsoft.com/office/excel/2006/main">
          <x14:cfRule type="expression" priority="800" stopIfTrue="1" id="{7E6F9691-42EF-4EB8-8CC4-F282817FF234}">
            <xm:f>INDEX(Config!K15:K83, MATCH("J61", Config!F15:F83, 0))</xm:f>
            <x14:dxf>
              <fill>
                <patternFill patternType="solid">
                  <fgColor rgb="FFFDEDEE"/>
                </patternFill>
              </fill>
            </x14:dxf>
          </x14:cfRule>
          <xm:sqref>F103</xm:sqref>
        </x14:conditionalFormatting>
        <x14:conditionalFormatting xmlns:xm="http://schemas.microsoft.com/office/excel/2006/main">
          <x14:cfRule type="expression" priority="2257" stopIfTrue="1" id="{00000000-000E-0000-0000-00003E000000}">
            <xm:f>INDEX(Config!N15:N83, MATCH("C61", Config!I15:I83, 0))</xm:f>
            <x14:dxf>
              <fill>
                <patternFill patternType="solid">
                  <fgColor rgb="FFFDEDEE"/>
                </patternFill>
              </fill>
            </x14:dxf>
          </x14:cfRule>
          <xm:sqref>F105</xm:sqref>
        </x14:conditionalFormatting>
        <x14:conditionalFormatting xmlns:xm="http://schemas.microsoft.com/office/excel/2006/main">
          <x14:cfRule type="expression" priority="1552" stopIfTrue="1" id="{7E6F9691-42EF-4EB8-8CC4-F282817FF234}">
            <xm:f>INDEX(Config!O15:O83, MATCH("J61", Config!J15:J83, 0))</xm:f>
            <x14:dxf>
              <fill>
                <patternFill patternType="solid">
                  <fgColor rgb="FFFDEDEE"/>
                </patternFill>
              </fill>
            </x14:dxf>
          </x14:cfRule>
          <xm:sqref>I7</xm:sqref>
        </x14:conditionalFormatting>
        <x14:conditionalFormatting xmlns:xm="http://schemas.microsoft.com/office/excel/2006/main">
          <x14:cfRule type="expression" priority="1182" stopIfTrue="1" id="{61B1D1F9-E9B5-42F5-A74A-FA17D1EA12A3}">
            <xm:f>INDEX(Config!A18:A86, MATCH("I42", Config!XEZ18:XEZ86, 0))</xm:f>
            <x14:dxf>
              <fill>
                <patternFill patternType="solid">
                  <fgColor rgb="FFFDEDEE"/>
                </patternFill>
              </fill>
            </x14:dxf>
          </x14:cfRule>
          <xm:sqref>I60</xm:sqref>
        </x14:conditionalFormatting>
        <x14:conditionalFormatting xmlns:xm="http://schemas.microsoft.com/office/excel/2006/main">
          <x14:cfRule type="expression" priority="2969" stopIfTrue="1" id="{DB71FAD1-9E8E-46DE-8556-C14FF0CAE3C5}">
            <xm:f>INDEX(Config!F16:F84, MATCH("F46", Config!A16:A84, 0))</xm:f>
            <x14:dxf>
              <fill>
                <patternFill patternType="solid">
                  <fgColor rgb="FFFDEDEE"/>
                </patternFill>
              </fill>
            </x14:dxf>
          </x14:cfRule>
          <xm:sqref>I64</xm:sqref>
        </x14:conditionalFormatting>
        <x14:conditionalFormatting xmlns:xm="http://schemas.microsoft.com/office/excel/2006/main">
          <x14:cfRule type="expression" priority="161" stopIfTrue="1" id="{61B1D1F9-E9B5-42F5-A74A-FA17D1EA12A3}">
            <xm:f>INDEX(Config!F20:F88, MATCH("I42", Config!A20:A88, 0))</xm:f>
            <x14:dxf>
              <fill>
                <patternFill patternType="solid">
                  <fgColor rgb="FFFDEDEE"/>
                </patternFill>
              </fill>
            </x14:dxf>
          </x14:cfRule>
          <xm:sqref>I66</xm:sqref>
        </x14:conditionalFormatting>
        <x14:conditionalFormatting xmlns:xm="http://schemas.microsoft.com/office/excel/2006/main">
          <x14:cfRule type="expression" priority="1097" stopIfTrue="1" id="{00000000-000E-0000-0000-00003F000000}">
            <xm:f>INDEX(Config!G2:G70, MATCH("F61", Config!B2:B70, 0))</xm:f>
            <x14:dxf>
              <fill>
                <patternFill patternType="solid">
                  <fgColor rgb="FFFDEDEE"/>
                </patternFill>
              </fill>
            </x14:dxf>
          </x14:cfRule>
          <xm:sqref>I70 I72</xm:sqref>
        </x14:conditionalFormatting>
        <x14:conditionalFormatting xmlns:xm="http://schemas.microsoft.com/office/excel/2006/main">
          <x14:cfRule type="expression" priority="52" stopIfTrue="1" id="{15D0F2FB-E994-42B3-A5F0-023C0F9F3B3C}">
            <xm:f>INDEX(Config!A20:A88, MATCH("I42", Config!XEZ20:XEZ88, 0))</xm:f>
            <x14:dxf>
              <fill>
                <patternFill patternType="solid">
                  <fgColor rgb="FFFDEDEE"/>
                </patternFill>
              </fill>
            </x14:dxf>
          </x14:cfRule>
          <xm:sqref>L60</xm:sqref>
        </x14:conditionalFormatting>
        <x14:conditionalFormatting xmlns:xm="http://schemas.microsoft.com/office/excel/2006/main">
          <x14:cfRule type="expression" priority="1746" stopIfTrue="1" id="{93C6496A-E6D8-4C27-A138-39920F57E7AC}">
            <xm:f>INDEX(Config!R18:R86, MATCH("C44", Config!M18:M86, 0))</xm:f>
            <x14:dxf>
              <fill>
                <patternFill patternType="solid">
                  <fgColor rgb="FFFDEDEE"/>
                </patternFill>
              </fill>
            </x14:dxf>
          </x14:cfRule>
          <xm:sqref>L66</xm:sqref>
        </x14:conditionalFormatting>
        <x14:conditionalFormatting xmlns:xm="http://schemas.microsoft.com/office/excel/2006/main">
          <x14:cfRule type="expression" priority="251" stopIfTrue="1" id="{00000000-000E-0000-0000-00003F000000}">
            <xm:f>INDEX(Config!H2:H70, MATCH("F61", Config!C2:C70, 0))</xm:f>
            <x14:dxf>
              <fill>
                <patternFill patternType="solid">
                  <fgColor rgb="FFFDEDEE"/>
                </patternFill>
              </fill>
            </x14:dxf>
          </x14:cfRule>
          <xm:sqref>L70</xm:sqref>
        </x14:conditionalFormatting>
        <x14:conditionalFormatting xmlns:xm="http://schemas.microsoft.com/office/excel/2006/main">
          <x14:cfRule type="expression" priority="513" stopIfTrue="1" id="{00000000-000E-0000-0000-000041000000}">
            <xm:f>INDEX(Config!J2:J70, MATCH("J61", Config!E2:E70, 0))</xm:f>
            <x14:dxf>
              <fill>
                <patternFill patternType="solid">
                  <fgColor rgb="FFFDEDEE"/>
                </patternFill>
              </fill>
            </x14:dxf>
          </x14:cfRule>
          <xm:sqref>L72</xm:sqref>
        </x14:conditionalFormatting>
        <x14:conditionalFormatting xmlns:xm="http://schemas.microsoft.com/office/excel/2006/main">
          <x14:cfRule type="expression" priority="2696" stopIfTrue="1" id="{DB71FAD1-9E8E-46DE-8556-C14FF0CAE3C5}">
            <xm:f>INDEX(Config!G18:G86, MATCH("F46", Config!B18:B86, 0))</xm:f>
            <x14:dxf>
              <fill>
                <patternFill patternType="solid">
                  <fgColor rgb="FFFDEDEE"/>
                </patternFill>
              </fill>
            </x14:dxf>
          </x14:cfRule>
          <xm:sqref>M66</xm:sqref>
        </x14:conditionalFormatting>
        <x14:conditionalFormatting xmlns:xm="http://schemas.microsoft.com/office/excel/2006/main">
          <x14:cfRule type="expression" priority="3025" stopIfTrue="1" id="{00000000-000E-0000-0000-00001A000000}">
            <xm:f>INDEX(Config!D50:D1048558, MATCH("I11", Config!XFC50:XFC1048558, 0))</xm:f>
            <x14:dxf>
              <fill>
                <patternFill patternType="solid">
                  <fgColor rgb="FFFDEDEE"/>
                </patternFill>
              </fill>
            </x14:dxf>
          </x14:cfRule>
          <xm:sqref>F13 C16 M13 J16</xm:sqref>
        </x14:conditionalFormatting>
        <x14:conditionalFormatting xmlns:xm="http://schemas.microsoft.com/office/excel/2006/main">
          <x14:cfRule type="expression" priority="3114" stopIfTrue="1" id="{00000000-000E-0000-0000-000044000000}">
            <xm:f>INDEX(Config!G2:G70, MATCH("C69", Config!B2:B70, 0))</xm:f>
            <x14:dxf>
              <fill>
                <patternFill patternType="solid">
                  <fgColor rgb="FFFDEDEE"/>
                </patternFill>
              </fill>
            </x14:dxf>
          </x14:cfRule>
          <xm:sqref>C87</xm:sqref>
        </x14:conditionalFormatting>
        <x14:conditionalFormatting xmlns:xm="http://schemas.microsoft.com/office/excel/2006/main">
          <x14:cfRule type="expression" priority="3165" stopIfTrue="1" id="{DB71FAD1-9E8E-46DE-8556-C14FF0CAE3C5}">
            <xm:f>INDEX(Config!D14:D82, MATCH("F46", Config!XFC14:XFC82, 0))</xm:f>
            <x14:dxf>
              <fill>
                <patternFill patternType="solid">
                  <fgColor rgb="FFFDEDEE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expression" priority="3174" stopIfTrue="1" id="{7DD3F18C-1B81-4A28-B891-D64A6C048AAC}">
            <xm:f>INDEX(Config!I4:I72, MATCH("C10", Config!D4:D72, 0))</xm:f>
            <x14:dxf>
              <fill>
                <patternFill patternType="solid">
                  <fgColor rgb="FFFDEDEE"/>
                </patternFill>
              </fill>
            </x14:dxf>
          </x14:cfRule>
          <xm:sqref>C18 E18 J18 L18</xm:sqref>
        </x14:conditionalFormatting>
        <x14:conditionalFormatting xmlns:xm="http://schemas.microsoft.com/office/excel/2006/main">
          <x14:cfRule type="expression" priority="3178" stopIfTrue="1" id="{94555497-D3CD-44CD-BFB9-630B438E846F}">
            <xm:f>INDEX(Config!G2:G70, MATCH("C10", Config!B2:B70, 0))</xm:f>
            <x14:dxf>
              <fill>
                <patternFill patternType="solid">
                  <fgColor rgb="FFFDEDEE"/>
                </patternFill>
              </fill>
            </x14:dxf>
          </x14:cfRule>
          <xm:sqref>C17 J17</xm:sqref>
        </x14:conditionalFormatting>
        <x14:conditionalFormatting xmlns:xm="http://schemas.microsoft.com/office/excel/2006/main">
          <x14:cfRule type="expression" priority="3205" stopIfTrue="1" id="{00000000-000E-0000-0000-000009000000}">
            <xm:f>INDEX(Config!G2:G70, MATCH("C9", Config!B2:B70, 0))</xm:f>
            <x14:dxf>
              <fill>
                <patternFill patternType="solid">
                  <fgColor rgb="FFFDEDEE"/>
                </patternFill>
              </fill>
            </x14:dxf>
          </x14:cfRule>
          <xm:sqref>C14:C15 E16 G16 L16 N16 C19 J19 K14:M14</xm:sqref>
        </x14:conditionalFormatting>
        <x14:conditionalFormatting xmlns:xm="http://schemas.microsoft.com/office/excel/2006/main">
          <x14:cfRule type="expression" priority="3242" stopIfTrue="1" id="{00000000-000E-0000-0000-000009000000}">
            <xm:f>INDEX(Config!N2:N70, MATCH("C9", Config!I2:I70, 0))</xm:f>
            <x14:dxf>
              <fill>
                <patternFill patternType="solid">
                  <fgColor rgb="FFFDEDEE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3248" stopIfTrue="1" id="{00000000-000E-0000-0000-00000A000000}">
            <xm:f>INDEX(Config!G10:G78, MATCH("C10", Config!B10:B78, 0))</xm:f>
            <x14:dxf>
              <fill>
                <patternFill patternType="solid">
                  <fgColor rgb="FFFDEDEE"/>
                </patternFill>
              </fill>
            </x14:dxf>
          </x14:cfRule>
          <xm:sqref>C29</xm:sqref>
        </x14:conditionalFormatting>
        <x14:conditionalFormatting xmlns:xm="http://schemas.microsoft.com/office/excel/2006/main">
          <x14:cfRule type="expression" priority="3252" stopIfTrue="1" id="{7DD3F18C-1B81-4A28-B891-D64A6C048AAC}">
            <xm:f>INDEX(Config!I14:I82, MATCH("C10", Config!D14:D82, 0))</xm:f>
            <x14:dxf>
              <fill>
                <patternFill patternType="solid">
                  <fgColor rgb="FFFDEDEE"/>
                </patternFill>
              </fill>
            </x14:dxf>
          </x14:cfRule>
          <xm:sqref>C30 E30</xm:sqref>
        </x14:conditionalFormatting>
        <x14:conditionalFormatting xmlns:xm="http://schemas.microsoft.com/office/excel/2006/main">
          <x14:cfRule type="expression" priority="3282" stopIfTrue="1" id="{00000000-000E-0000-0000-000009000000}">
            <xm:f>INDEX(Config!G11:G79, MATCH("C9", Config!B11:B79, 0))</xm:f>
            <x14:dxf>
              <fill>
                <patternFill patternType="solid">
                  <fgColor rgb="FFFDEDEE"/>
                </patternFill>
              </fill>
            </x14:dxf>
          </x14:cfRule>
          <xm:sqref>C28 C31 F25</xm:sqref>
        </x14:conditionalFormatting>
        <x14:conditionalFormatting xmlns:xm="http://schemas.microsoft.com/office/excel/2006/main">
          <x14:cfRule type="expression" priority="3291" stopIfTrue="1" id="{7DD3F18C-1B81-4A28-B891-D64A6C048AAC}">
            <xm:f>INDEX(Config!P7:P75, MATCH("C10", Config!K7:K75, 0))</xm:f>
            <x14:dxf>
              <fill>
                <patternFill patternType="solid">
                  <fgColor rgb="FFFDEDEE"/>
                </patternFill>
              </fill>
            </x14:dxf>
          </x14:cfRule>
          <xm:sqref>J24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xr:uid="{00000000-0002-0000-0000-000002000000}">
          <x14:formula1>
            <xm:f>Lists!$B$2:$B$1048576</xm:f>
          </x14:formula1>
          <xm:sqref>F66 F7 M79</xm:sqref>
        </x14:dataValidation>
        <x14:dataValidation type="list" xr:uid="{00000000-0002-0000-0000-000016000000}">
          <x14:formula1>
            <xm:f>Lists!$G$2:$G$1048576</xm:f>
          </x14:formula1>
          <xm:sqref>C58</xm:sqref>
        </x14:dataValidation>
        <x14:dataValidation type="list" allowBlank="1" showInputMessage="1" showErrorMessage="1" xr:uid="{1A44A525-F336-48D0-9DF1-9FF4AA1BA3B7}">
          <x14:formula1>
            <xm:f>Lists!$H$2:$H$18</xm:f>
          </x14:formula1>
          <xm:sqref>C7</xm:sqref>
        </x14:dataValidation>
        <x14:dataValidation type="list" allowBlank="1" showInputMessage="1" showErrorMessage="1" xr:uid="{7C1F21B4-9FF7-4109-96BB-373A82EDDC89}">
          <x14:formula1>
            <xm:f>Lists!$I$2:$I$15</xm:f>
          </x14:formula1>
          <xm:sqref>F103</xm:sqref>
        </x14:dataValidation>
        <x14:dataValidation type="list" xr:uid="{00000000-0002-0000-0000-000008000000}">
          <x14:formula1>
            <xm:f>Lists!$D$2:$D$1048576</xm:f>
          </x14:formula1>
          <xm:sqref>F59</xm:sqref>
        </x14:dataValidation>
        <x14:dataValidation type="list" showErrorMessage="1" xr:uid="{8C234785-5C3A-45A0-981C-CA53C8F6C360}">
          <x14:formula1>
            <xm:f>Lists!$B$2:$B$1048576</xm:f>
          </x14:formula1>
          <xm:sqref>C81 F79 F81 J81 M81 C64 C66 L66</xm:sqref>
        </x14:dataValidation>
        <x14:dataValidation type="list" showErrorMessage="1" xr:uid="{0E9D800C-1DA9-4382-9772-7FF92573008E}">
          <x14:formula1>
            <xm:f>Lists!$D$2:$D$1048576</xm:f>
          </x14:formula1>
          <xm:sqref>F60</xm:sqref>
        </x14:dataValidation>
        <x14:dataValidation type="list" allowBlank="1" showInputMessage="1" showErrorMessage="1" xr:uid="{3EF62DAF-01B4-442A-BE9B-A475BAA2B456}">
          <x14:formula1>
            <xm:f>Lists!$K$2:$K$8</xm:f>
          </x14:formula1>
          <xm:sqref>C91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C2BCD-318A-45AD-9EF7-0593A5FD3122}">
  <sheetPr codeName="Sheet5"/>
  <dimension ref="A1:EB4"/>
  <sheetViews>
    <sheetView workbookViewId="0">
      <selection activeCell="A2" sqref="A2"/>
    </sheetView>
  </sheetViews>
  <sheetFormatPr defaultRowHeight="14.5" x14ac:dyDescent="0.35"/>
  <sheetData>
    <row r="1" spans="1:132" ht="61.25" customHeight="1" x14ac:dyDescent="0.35">
      <c r="A1" s="21" t="s">
        <v>219</v>
      </c>
      <c r="B1" s="21" t="s">
        <v>320</v>
      </c>
      <c r="C1" s="21" t="s">
        <v>215</v>
      </c>
      <c r="D1" s="21" t="s">
        <v>214</v>
      </c>
      <c r="E1" s="21" t="s">
        <v>292</v>
      </c>
      <c r="F1" s="21" t="s">
        <v>359</v>
      </c>
      <c r="G1" s="21" t="s">
        <v>360</v>
      </c>
      <c r="H1" s="21" t="s">
        <v>361</v>
      </c>
      <c r="I1" s="21" t="s">
        <v>362</v>
      </c>
      <c r="J1" s="21" t="s">
        <v>363</v>
      </c>
      <c r="K1" s="21" t="s">
        <v>364</v>
      </c>
      <c r="L1" s="21" t="s">
        <v>365</v>
      </c>
      <c r="M1" s="21" t="s">
        <v>366</v>
      </c>
      <c r="N1" s="21" t="s">
        <v>367</v>
      </c>
      <c r="O1" s="21" t="s">
        <v>368</v>
      </c>
      <c r="P1" s="21" t="s">
        <v>369</v>
      </c>
      <c r="Q1" s="21" t="s">
        <v>370</v>
      </c>
      <c r="R1" s="21" t="s">
        <v>371</v>
      </c>
      <c r="S1" s="21" t="s">
        <v>372</v>
      </c>
      <c r="T1" s="21" t="s">
        <v>373</v>
      </c>
      <c r="U1" s="21" t="s">
        <v>374</v>
      </c>
      <c r="V1" s="21" t="s">
        <v>375</v>
      </c>
      <c r="W1" s="21" t="s">
        <v>376</v>
      </c>
      <c r="X1" s="21" t="s">
        <v>377</v>
      </c>
      <c r="Y1" s="21" t="s">
        <v>378</v>
      </c>
      <c r="Z1" s="21" t="s">
        <v>379</v>
      </c>
      <c r="AA1" s="21" t="s">
        <v>380</v>
      </c>
      <c r="AB1" s="21" t="s">
        <v>381</v>
      </c>
      <c r="AC1" s="21" t="s">
        <v>382</v>
      </c>
      <c r="AD1" s="21" t="s">
        <v>383</v>
      </c>
      <c r="AE1" s="21" t="s">
        <v>384</v>
      </c>
      <c r="AF1" s="21" t="s">
        <v>385</v>
      </c>
      <c r="AG1" s="21" t="s">
        <v>386</v>
      </c>
      <c r="AH1" s="21" t="s">
        <v>387</v>
      </c>
      <c r="AI1" s="21" t="s">
        <v>388</v>
      </c>
      <c r="AJ1" s="21" t="s">
        <v>389</v>
      </c>
      <c r="AK1" s="21" t="s">
        <v>390</v>
      </c>
      <c r="AL1" s="21" t="s">
        <v>391</v>
      </c>
      <c r="AM1" s="21" t="s">
        <v>392</v>
      </c>
      <c r="AN1" s="21" t="s">
        <v>393</v>
      </c>
      <c r="AO1" s="21" t="s">
        <v>394</v>
      </c>
      <c r="AP1" s="21" t="s">
        <v>305</v>
      </c>
      <c r="AQ1" s="21" t="s">
        <v>395</v>
      </c>
      <c r="AR1" s="21" t="s">
        <v>396</v>
      </c>
      <c r="AS1" s="21" t="s">
        <v>397</v>
      </c>
      <c r="AT1" s="21" t="s">
        <v>398</v>
      </c>
      <c r="AU1" s="21" t="s">
        <v>399</v>
      </c>
      <c r="AV1" s="21" t="s">
        <v>400</v>
      </c>
      <c r="AW1" s="21" t="s">
        <v>401</v>
      </c>
      <c r="AX1" s="21" t="s">
        <v>402</v>
      </c>
      <c r="AY1" s="21" t="s">
        <v>403</v>
      </c>
      <c r="AZ1" s="21" t="s">
        <v>404</v>
      </c>
      <c r="BA1" s="21" t="s">
        <v>405</v>
      </c>
      <c r="BB1" s="21" t="s">
        <v>406</v>
      </c>
      <c r="BC1" s="21" t="s">
        <v>407</v>
      </c>
      <c r="BD1" s="21" t="s">
        <v>408</v>
      </c>
      <c r="BE1" s="21" t="s">
        <v>409</v>
      </c>
      <c r="BF1" s="21" t="s">
        <v>410</v>
      </c>
      <c r="BG1" s="21" t="s">
        <v>411</v>
      </c>
      <c r="BH1" s="21" t="s">
        <v>412</v>
      </c>
      <c r="BI1" s="21" t="s">
        <v>413</v>
      </c>
      <c r="BJ1" s="21" t="s">
        <v>414</v>
      </c>
      <c r="BK1" s="21" t="s">
        <v>306</v>
      </c>
      <c r="BL1" s="21" t="s">
        <v>439</v>
      </c>
      <c r="BM1" s="21" t="s">
        <v>440</v>
      </c>
      <c r="BN1" s="21" t="s">
        <v>441</v>
      </c>
      <c r="BO1" s="21" t="s">
        <v>442</v>
      </c>
      <c r="BP1" s="21" t="s">
        <v>443</v>
      </c>
      <c r="BQ1" s="21" t="s">
        <v>444</v>
      </c>
      <c r="BR1" s="21" t="s">
        <v>445</v>
      </c>
      <c r="BS1" s="21" t="s">
        <v>446</v>
      </c>
      <c r="BT1" s="21" t="s">
        <v>447</v>
      </c>
      <c r="BU1" s="21" t="s">
        <v>448</v>
      </c>
      <c r="BV1" s="21" t="s">
        <v>449</v>
      </c>
      <c r="BW1" s="21" t="s">
        <v>450</v>
      </c>
      <c r="BX1" s="21" t="s">
        <v>451</v>
      </c>
      <c r="BY1" s="21" t="s">
        <v>452</v>
      </c>
      <c r="BZ1" s="21" t="s">
        <v>453</v>
      </c>
      <c r="CA1" s="21" t="s">
        <v>454</v>
      </c>
      <c r="CB1" s="21" t="s">
        <v>455</v>
      </c>
      <c r="CC1" s="21" t="s">
        <v>476</v>
      </c>
      <c r="CD1" s="21" t="s">
        <v>456</v>
      </c>
      <c r="CE1" s="21" t="s">
        <v>457</v>
      </c>
      <c r="CF1" s="21" t="s">
        <v>458</v>
      </c>
      <c r="CG1" s="21" t="s">
        <v>459</v>
      </c>
      <c r="CH1" s="21" t="s">
        <v>460</v>
      </c>
      <c r="CI1" s="21" t="s">
        <v>461</v>
      </c>
      <c r="CJ1" s="21" t="s">
        <v>462</v>
      </c>
      <c r="CK1" s="21" t="s">
        <v>463</v>
      </c>
      <c r="CL1" s="21" t="s">
        <v>464</v>
      </c>
      <c r="CM1" s="21" t="s">
        <v>465</v>
      </c>
      <c r="CN1" s="21" t="s">
        <v>477</v>
      </c>
      <c r="CO1" s="21" t="s">
        <v>467</v>
      </c>
      <c r="CP1" s="21" t="s">
        <v>468</v>
      </c>
      <c r="CQ1" s="21" t="s">
        <v>469</v>
      </c>
      <c r="CR1" s="21" t="s">
        <v>466</v>
      </c>
      <c r="CS1" s="21" t="s">
        <v>470</v>
      </c>
      <c r="CT1" s="21" t="s">
        <v>471</v>
      </c>
      <c r="CU1" s="21" t="s">
        <v>472</v>
      </c>
      <c r="CV1" s="21" t="s">
        <v>473</v>
      </c>
      <c r="CW1" s="21" t="s">
        <v>474</v>
      </c>
      <c r="CX1" s="21" t="s">
        <v>475</v>
      </c>
      <c r="CY1" s="21" t="s">
        <v>415</v>
      </c>
      <c r="CZ1" s="21" t="s">
        <v>416</v>
      </c>
      <c r="DA1" s="21" t="s">
        <v>417</v>
      </c>
      <c r="DB1" s="21" t="s">
        <v>418</v>
      </c>
      <c r="DC1" s="21" t="s">
        <v>419</v>
      </c>
      <c r="DD1" s="21" t="s">
        <v>420</v>
      </c>
      <c r="DE1" s="21" t="s">
        <v>421</v>
      </c>
      <c r="DF1" s="21" t="s">
        <v>422</v>
      </c>
      <c r="DG1" s="21" t="s">
        <v>423</v>
      </c>
      <c r="DH1" s="21" t="s">
        <v>424</v>
      </c>
      <c r="DI1" s="21" t="s">
        <v>425</v>
      </c>
      <c r="DJ1" s="21" t="s">
        <v>426</v>
      </c>
      <c r="DK1" s="21" t="s">
        <v>427</v>
      </c>
      <c r="DL1" s="21" t="s">
        <v>428</v>
      </c>
      <c r="DM1" s="21" t="s">
        <v>429</v>
      </c>
      <c r="DN1" s="21" t="s">
        <v>430</v>
      </c>
      <c r="DO1" s="21" t="s">
        <v>431</v>
      </c>
      <c r="DP1" s="21" t="s">
        <v>432</v>
      </c>
      <c r="DQ1" s="21" t="s">
        <v>217</v>
      </c>
      <c r="DR1" s="21" t="s">
        <v>333</v>
      </c>
      <c r="DS1" s="21" t="s">
        <v>321</v>
      </c>
      <c r="DT1" s="21" t="s">
        <v>355</v>
      </c>
      <c r="DU1" s="21" t="s">
        <v>356</v>
      </c>
      <c r="DV1" s="21" t="s">
        <v>340</v>
      </c>
      <c r="DW1" s="21" t="s">
        <v>433</v>
      </c>
      <c r="DX1" s="21" t="s">
        <v>434</v>
      </c>
      <c r="DY1" s="21" t="s">
        <v>435</v>
      </c>
      <c r="DZ1" s="21" t="s">
        <v>436</v>
      </c>
      <c r="EA1" s="21" t="s">
        <v>437</v>
      </c>
      <c r="EB1" s="21" t="s">
        <v>438</v>
      </c>
    </row>
    <row r="2" spans="1:132" x14ac:dyDescent="0.35">
      <c r="A2">
        <v>0</v>
      </c>
      <c r="B2" t="s">
        <v>236</v>
      </c>
      <c r="C2" t="s">
        <v>640</v>
      </c>
      <c r="D2" t="s">
        <v>221</v>
      </c>
      <c r="E2" t="s">
        <v>239</v>
      </c>
      <c r="F2" t="s">
        <v>349</v>
      </c>
      <c r="G2">
        <v>0</v>
      </c>
      <c r="H2">
        <v>0</v>
      </c>
      <c r="I2">
        <v>0</v>
      </c>
      <c r="J2" t="s">
        <v>640</v>
      </c>
      <c r="K2">
        <v>0</v>
      </c>
      <c r="L2">
        <v>0</v>
      </c>
      <c r="M2">
        <v>0</v>
      </c>
      <c r="N2" t="s">
        <v>640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 t="s">
        <v>640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 t="s">
        <v>640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 t="s">
        <v>641</v>
      </c>
      <c r="AT2">
        <v>0</v>
      </c>
      <c r="AU2">
        <v>0</v>
      </c>
      <c r="AV2" t="s">
        <v>642</v>
      </c>
      <c r="AW2">
        <v>0</v>
      </c>
      <c r="AX2">
        <v>0</v>
      </c>
      <c r="AY2">
        <v>46094</v>
      </c>
      <c r="AZ2">
        <v>46094</v>
      </c>
      <c r="BA2">
        <v>0</v>
      </c>
      <c r="BB2" t="s">
        <v>643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 t="s">
        <v>233</v>
      </c>
      <c r="BJ2" t="s">
        <v>350</v>
      </c>
      <c r="BK2">
        <v>0</v>
      </c>
      <c r="BL2" t="s">
        <v>239</v>
      </c>
      <c r="BM2">
        <v>0</v>
      </c>
      <c r="BN2" t="s">
        <v>645</v>
      </c>
      <c r="BO2">
        <v>0</v>
      </c>
      <c r="BP2">
        <v>0</v>
      </c>
      <c r="BQ2" t="s">
        <v>640</v>
      </c>
      <c r="BR2">
        <v>0</v>
      </c>
      <c r="BS2">
        <v>0</v>
      </c>
      <c r="BT2">
        <v>46094</v>
      </c>
      <c r="BU2">
        <v>46094</v>
      </c>
      <c r="BV2">
        <v>0</v>
      </c>
      <c r="BW2" t="s">
        <v>640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 t="s">
        <v>233</v>
      </c>
      <c r="CE2" t="s">
        <v>350</v>
      </c>
      <c r="CF2">
        <v>0</v>
      </c>
      <c r="CG2" t="s">
        <v>233</v>
      </c>
      <c r="CH2" t="s">
        <v>253</v>
      </c>
      <c r="CI2" t="s">
        <v>644</v>
      </c>
      <c r="CJ2" t="s">
        <v>487</v>
      </c>
      <c r="CK2" t="s">
        <v>307</v>
      </c>
      <c r="CL2" t="s">
        <v>308</v>
      </c>
      <c r="CM2" t="s">
        <v>309</v>
      </c>
      <c r="CN2" t="s">
        <v>233</v>
      </c>
      <c r="CO2" t="s">
        <v>233</v>
      </c>
      <c r="CP2" t="s">
        <v>235</v>
      </c>
      <c r="CQ2">
        <v>0</v>
      </c>
      <c r="CR2" t="s">
        <v>233</v>
      </c>
      <c r="CS2" t="s">
        <v>351</v>
      </c>
      <c r="CT2">
        <v>0</v>
      </c>
      <c r="CU2">
        <v>0</v>
      </c>
      <c r="CV2" t="s">
        <v>496</v>
      </c>
      <c r="CW2">
        <v>0</v>
      </c>
      <c r="CX2" t="s">
        <v>643</v>
      </c>
      <c r="CY2" t="s">
        <v>315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 t="s">
        <v>646</v>
      </c>
      <c r="DI2" t="s">
        <v>233</v>
      </c>
      <c r="DJ2">
        <v>0</v>
      </c>
      <c r="DK2" t="s">
        <v>233</v>
      </c>
      <c r="DL2" t="s">
        <v>239</v>
      </c>
      <c r="DM2" t="s">
        <v>640</v>
      </c>
      <c r="DN2" t="s">
        <v>233</v>
      </c>
      <c r="DO2">
        <v>0</v>
      </c>
      <c r="DP2" t="s">
        <v>233</v>
      </c>
      <c r="DQ2" t="s">
        <v>233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</row>
    <row r="3" spans="1:132" x14ac:dyDescent="0.35">
      <c r="A3">
        <v>0</v>
      </c>
      <c r="B3" t="s">
        <v>236</v>
      </c>
      <c r="C3" t="s">
        <v>632</v>
      </c>
      <c r="D3" t="s">
        <v>223</v>
      </c>
      <c r="E3" t="s">
        <v>239</v>
      </c>
      <c r="F3" t="s">
        <v>349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46090</v>
      </c>
      <c r="AZ3">
        <v>46090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 t="s">
        <v>233</v>
      </c>
      <c r="BJ3" t="s">
        <v>350</v>
      </c>
      <c r="BK3">
        <v>0</v>
      </c>
      <c r="BL3" t="s">
        <v>239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46090</v>
      </c>
      <c r="BU3">
        <v>46090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 t="s">
        <v>233</v>
      </c>
      <c r="CE3" t="s">
        <v>350</v>
      </c>
      <c r="CF3">
        <v>0</v>
      </c>
      <c r="CG3" t="s">
        <v>239</v>
      </c>
      <c r="CH3" t="s">
        <v>253</v>
      </c>
      <c r="CI3" t="s">
        <v>634</v>
      </c>
      <c r="CJ3" t="s">
        <v>487</v>
      </c>
      <c r="CK3" t="s">
        <v>307</v>
      </c>
      <c r="CL3" t="s">
        <v>308</v>
      </c>
      <c r="CM3" t="s">
        <v>309</v>
      </c>
      <c r="CN3" t="s">
        <v>233</v>
      </c>
      <c r="CO3" t="s">
        <v>239</v>
      </c>
      <c r="CP3" t="s">
        <v>235</v>
      </c>
      <c r="CQ3" t="s">
        <v>635</v>
      </c>
      <c r="CR3" t="s">
        <v>233</v>
      </c>
      <c r="CS3" t="s">
        <v>351</v>
      </c>
      <c r="CT3">
        <v>0</v>
      </c>
      <c r="CU3">
        <v>0</v>
      </c>
      <c r="CV3" t="s">
        <v>496</v>
      </c>
      <c r="CW3">
        <v>0</v>
      </c>
      <c r="CX3" t="s">
        <v>636</v>
      </c>
      <c r="CY3" t="s">
        <v>315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 t="s">
        <v>633</v>
      </c>
      <c r="DI3" t="s">
        <v>233</v>
      </c>
      <c r="DJ3" t="s">
        <v>498</v>
      </c>
      <c r="DK3" t="s">
        <v>239</v>
      </c>
      <c r="DL3" t="s">
        <v>233</v>
      </c>
      <c r="DM3" t="s">
        <v>637</v>
      </c>
      <c r="DN3" t="s">
        <v>233</v>
      </c>
      <c r="DO3">
        <v>0</v>
      </c>
      <c r="DP3" t="s">
        <v>233</v>
      </c>
      <c r="DQ3" t="s">
        <v>233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 t="s">
        <v>260</v>
      </c>
      <c r="EA3" t="s">
        <v>638</v>
      </c>
      <c r="EB3" t="s">
        <v>639</v>
      </c>
    </row>
    <row r="4" spans="1:132" x14ac:dyDescent="0.35">
      <c r="A4">
        <v>0</v>
      </c>
      <c r="B4" t="s">
        <v>236</v>
      </c>
      <c r="C4" t="s">
        <v>498</v>
      </c>
      <c r="D4" t="s">
        <v>222</v>
      </c>
      <c r="E4" t="s">
        <v>239</v>
      </c>
      <c r="F4" t="s">
        <v>349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46090</v>
      </c>
      <c r="AZ4">
        <v>46090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 t="s">
        <v>233</v>
      </c>
      <c r="BJ4" t="s">
        <v>350</v>
      </c>
      <c r="BK4">
        <v>0</v>
      </c>
      <c r="BL4" t="s">
        <v>239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46090</v>
      </c>
      <c r="BU4">
        <v>46090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 t="s">
        <v>233</v>
      </c>
      <c r="CE4" t="s">
        <v>350</v>
      </c>
      <c r="CF4">
        <v>0</v>
      </c>
      <c r="CG4" t="s">
        <v>239</v>
      </c>
      <c r="CH4" t="s">
        <v>253</v>
      </c>
      <c r="CI4" t="s">
        <v>498</v>
      </c>
      <c r="CJ4" t="s">
        <v>487</v>
      </c>
      <c r="CK4" t="s">
        <v>307</v>
      </c>
      <c r="CL4" t="s">
        <v>308</v>
      </c>
      <c r="CM4" t="s">
        <v>309</v>
      </c>
      <c r="CN4" t="s">
        <v>233</v>
      </c>
      <c r="CO4" t="s">
        <v>233</v>
      </c>
      <c r="CP4" t="s">
        <v>235</v>
      </c>
      <c r="CQ4">
        <v>0</v>
      </c>
      <c r="CR4" t="s">
        <v>233</v>
      </c>
      <c r="CS4" t="s">
        <v>351</v>
      </c>
      <c r="CT4">
        <v>0</v>
      </c>
      <c r="CU4">
        <v>0</v>
      </c>
      <c r="CV4" t="s">
        <v>496</v>
      </c>
      <c r="CW4">
        <v>0</v>
      </c>
      <c r="CX4" t="s">
        <v>498</v>
      </c>
      <c r="CY4" t="s">
        <v>315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 t="s">
        <v>498</v>
      </c>
      <c r="DI4" t="s">
        <v>233</v>
      </c>
      <c r="DJ4">
        <v>0</v>
      </c>
      <c r="DK4" t="s">
        <v>233</v>
      </c>
      <c r="DL4" t="s">
        <v>233</v>
      </c>
      <c r="DM4" t="s">
        <v>631</v>
      </c>
      <c r="DN4" t="s">
        <v>233</v>
      </c>
      <c r="DO4">
        <v>0</v>
      </c>
      <c r="DP4" t="s">
        <v>233</v>
      </c>
      <c r="DQ4" t="s">
        <v>233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 t="s">
        <v>259</v>
      </c>
      <c r="EA4" t="s">
        <v>498</v>
      </c>
      <c r="EB4" t="s">
        <v>631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58B69-2C1B-4CAA-870C-DF330794D4C9}">
  <sheetPr codeName="Sheet6"/>
  <dimension ref="A1:EB4"/>
  <sheetViews>
    <sheetView workbookViewId="0">
      <selection activeCell="A2" sqref="A2"/>
    </sheetView>
  </sheetViews>
  <sheetFormatPr defaultRowHeight="14.5" x14ac:dyDescent="0.35"/>
  <sheetData>
    <row r="1" spans="1:132" ht="63" x14ac:dyDescent="0.35">
      <c r="A1" s="21" t="s">
        <v>219</v>
      </c>
      <c r="B1" s="21" t="s">
        <v>320</v>
      </c>
      <c r="C1" s="21" t="s">
        <v>215</v>
      </c>
      <c r="D1" s="21" t="s">
        <v>214</v>
      </c>
      <c r="E1" s="21" t="s">
        <v>292</v>
      </c>
      <c r="F1" s="21" t="s">
        <v>359</v>
      </c>
      <c r="G1" s="21" t="s">
        <v>360</v>
      </c>
      <c r="H1" s="21" t="s">
        <v>361</v>
      </c>
      <c r="I1" s="21" t="s">
        <v>362</v>
      </c>
      <c r="J1" s="21" t="s">
        <v>363</v>
      </c>
      <c r="K1" s="21" t="s">
        <v>364</v>
      </c>
      <c r="L1" s="21" t="s">
        <v>365</v>
      </c>
      <c r="M1" s="21" t="s">
        <v>366</v>
      </c>
      <c r="N1" s="21" t="s">
        <v>367</v>
      </c>
      <c r="O1" s="21" t="s">
        <v>368</v>
      </c>
      <c r="P1" s="21" t="s">
        <v>369</v>
      </c>
      <c r="Q1" s="21" t="s">
        <v>370</v>
      </c>
      <c r="R1" s="21" t="s">
        <v>371</v>
      </c>
      <c r="S1" s="21" t="s">
        <v>372</v>
      </c>
      <c r="T1" s="21" t="s">
        <v>373</v>
      </c>
      <c r="U1" s="21" t="s">
        <v>374</v>
      </c>
      <c r="V1" s="21" t="s">
        <v>375</v>
      </c>
      <c r="W1" s="21" t="s">
        <v>376</v>
      </c>
      <c r="X1" s="21" t="s">
        <v>377</v>
      </c>
      <c r="Y1" s="21" t="s">
        <v>378</v>
      </c>
      <c r="Z1" s="21" t="s">
        <v>379</v>
      </c>
      <c r="AA1" s="21" t="s">
        <v>380</v>
      </c>
      <c r="AB1" s="21" t="s">
        <v>381</v>
      </c>
      <c r="AC1" s="21" t="s">
        <v>382</v>
      </c>
      <c r="AD1" s="21" t="s">
        <v>383</v>
      </c>
      <c r="AE1" s="21" t="s">
        <v>384</v>
      </c>
      <c r="AF1" s="21" t="s">
        <v>385</v>
      </c>
      <c r="AG1" s="21" t="s">
        <v>386</v>
      </c>
      <c r="AH1" s="21" t="s">
        <v>387</v>
      </c>
      <c r="AI1" s="21" t="s">
        <v>388</v>
      </c>
      <c r="AJ1" s="21" t="s">
        <v>389</v>
      </c>
      <c r="AK1" s="21" t="s">
        <v>390</v>
      </c>
      <c r="AL1" s="21" t="s">
        <v>391</v>
      </c>
      <c r="AM1" s="21" t="s">
        <v>392</v>
      </c>
      <c r="AN1" s="21" t="s">
        <v>393</v>
      </c>
      <c r="AO1" s="21" t="s">
        <v>394</v>
      </c>
      <c r="AP1" s="21" t="s">
        <v>305</v>
      </c>
      <c r="AQ1" s="21" t="s">
        <v>395</v>
      </c>
      <c r="AR1" s="21" t="s">
        <v>396</v>
      </c>
      <c r="AS1" s="21" t="s">
        <v>397</v>
      </c>
      <c r="AT1" s="21" t="s">
        <v>398</v>
      </c>
      <c r="AU1" s="21" t="s">
        <v>399</v>
      </c>
      <c r="AV1" s="21" t="s">
        <v>400</v>
      </c>
      <c r="AW1" s="21" t="s">
        <v>401</v>
      </c>
      <c r="AX1" s="21" t="s">
        <v>402</v>
      </c>
      <c r="AY1" s="21" t="s">
        <v>403</v>
      </c>
      <c r="AZ1" s="21" t="s">
        <v>404</v>
      </c>
      <c r="BA1" s="21" t="s">
        <v>405</v>
      </c>
      <c r="BB1" s="21" t="s">
        <v>406</v>
      </c>
      <c r="BC1" s="21" t="s">
        <v>407</v>
      </c>
      <c r="BD1" s="21" t="s">
        <v>408</v>
      </c>
      <c r="BE1" s="21" t="s">
        <v>409</v>
      </c>
      <c r="BF1" s="21" t="s">
        <v>410</v>
      </c>
      <c r="BG1" s="21" t="s">
        <v>411</v>
      </c>
      <c r="BH1" s="21" t="s">
        <v>412</v>
      </c>
      <c r="BI1" s="21" t="s">
        <v>413</v>
      </c>
      <c r="BJ1" s="21" t="s">
        <v>414</v>
      </c>
      <c r="BK1" s="21" t="s">
        <v>306</v>
      </c>
      <c r="BL1" s="21" t="s">
        <v>439</v>
      </c>
      <c r="BM1" s="21" t="s">
        <v>440</v>
      </c>
      <c r="BN1" s="21" t="s">
        <v>441</v>
      </c>
      <c r="BO1" s="21" t="s">
        <v>442</v>
      </c>
      <c r="BP1" s="21" t="s">
        <v>443</v>
      </c>
      <c r="BQ1" s="21" t="s">
        <v>444</v>
      </c>
      <c r="BR1" s="21" t="s">
        <v>445</v>
      </c>
      <c r="BS1" s="21" t="s">
        <v>446</v>
      </c>
      <c r="BT1" s="21" t="s">
        <v>447</v>
      </c>
      <c r="BU1" s="21" t="s">
        <v>448</v>
      </c>
      <c r="BV1" s="21" t="s">
        <v>449</v>
      </c>
      <c r="BW1" s="21" t="s">
        <v>450</v>
      </c>
      <c r="BX1" s="21" t="s">
        <v>451</v>
      </c>
      <c r="BY1" s="21" t="s">
        <v>452</v>
      </c>
      <c r="BZ1" s="21" t="s">
        <v>453</v>
      </c>
      <c r="CA1" s="21" t="s">
        <v>454</v>
      </c>
      <c r="CB1" s="21" t="s">
        <v>455</v>
      </c>
      <c r="CC1" s="21" t="s">
        <v>476</v>
      </c>
      <c r="CD1" s="21" t="s">
        <v>456</v>
      </c>
      <c r="CE1" s="21" t="s">
        <v>457</v>
      </c>
      <c r="CF1" s="21" t="s">
        <v>458</v>
      </c>
      <c r="CG1" s="21" t="s">
        <v>459</v>
      </c>
      <c r="CH1" s="21" t="s">
        <v>460</v>
      </c>
      <c r="CI1" s="21" t="s">
        <v>461</v>
      </c>
      <c r="CJ1" s="21" t="s">
        <v>462</v>
      </c>
      <c r="CK1" s="21" t="s">
        <v>463</v>
      </c>
      <c r="CL1" s="21" t="s">
        <v>464</v>
      </c>
      <c r="CM1" s="21" t="s">
        <v>465</v>
      </c>
      <c r="CN1" s="21" t="s">
        <v>477</v>
      </c>
      <c r="CO1" s="21" t="s">
        <v>467</v>
      </c>
      <c r="CP1" s="21" t="s">
        <v>468</v>
      </c>
      <c r="CQ1" s="21" t="s">
        <v>469</v>
      </c>
      <c r="CR1" s="21" t="s">
        <v>466</v>
      </c>
      <c r="CS1" s="21" t="s">
        <v>470</v>
      </c>
      <c r="CT1" s="21" t="s">
        <v>471</v>
      </c>
      <c r="CU1" s="21" t="s">
        <v>472</v>
      </c>
      <c r="CV1" s="21" t="s">
        <v>473</v>
      </c>
      <c r="CW1" s="21" t="s">
        <v>474</v>
      </c>
      <c r="CX1" s="21" t="s">
        <v>475</v>
      </c>
      <c r="CY1" s="21" t="s">
        <v>415</v>
      </c>
      <c r="CZ1" s="21" t="s">
        <v>416</v>
      </c>
      <c r="DA1" s="21" t="s">
        <v>417</v>
      </c>
      <c r="DB1" s="21" t="s">
        <v>418</v>
      </c>
      <c r="DC1" s="21" t="s">
        <v>419</v>
      </c>
      <c r="DD1" s="21" t="s">
        <v>420</v>
      </c>
      <c r="DE1" s="21" t="s">
        <v>421</v>
      </c>
      <c r="DF1" s="21" t="s">
        <v>422</v>
      </c>
      <c r="DG1" s="21" t="s">
        <v>423</v>
      </c>
      <c r="DH1" s="21" t="s">
        <v>424</v>
      </c>
      <c r="DI1" s="21" t="s">
        <v>425</v>
      </c>
      <c r="DJ1" s="21" t="s">
        <v>426</v>
      </c>
      <c r="DK1" s="21" t="s">
        <v>427</v>
      </c>
      <c r="DL1" s="21" t="s">
        <v>428</v>
      </c>
      <c r="DM1" s="21" t="s">
        <v>429</v>
      </c>
      <c r="DN1" s="21" t="s">
        <v>430</v>
      </c>
      <c r="DO1" s="21" t="s">
        <v>431</v>
      </c>
      <c r="DP1" s="21" t="s">
        <v>432</v>
      </c>
      <c r="DQ1" s="21" t="s">
        <v>217</v>
      </c>
      <c r="DR1" s="21" t="s">
        <v>333</v>
      </c>
      <c r="DS1" s="21" t="s">
        <v>321</v>
      </c>
      <c r="DT1" s="21" t="s">
        <v>355</v>
      </c>
      <c r="DU1" s="21" t="s">
        <v>356</v>
      </c>
      <c r="DV1" s="21" t="s">
        <v>340</v>
      </c>
      <c r="DW1" s="21" t="s">
        <v>433</v>
      </c>
      <c r="DX1" s="21" t="s">
        <v>434</v>
      </c>
      <c r="DY1" s="21" t="s">
        <v>435</v>
      </c>
      <c r="DZ1" s="21" t="s">
        <v>436</v>
      </c>
      <c r="EA1" s="21" t="s">
        <v>437</v>
      </c>
      <c r="EB1" s="21" t="s">
        <v>438</v>
      </c>
    </row>
    <row r="2" spans="1:132" x14ac:dyDescent="0.35">
      <c r="A2">
        <v>0</v>
      </c>
      <c r="B2" t="s">
        <v>236</v>
      </c>
      <c r="C2">
        <v>0</v>
      </c>
      <c r="D2">
        <v>0</v>
      </c>
      <c r="E2" t="s">
        <v>239</v>
      </c>
      <c r="F2" t="s">
        <v>349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46093</v>
      </c>
      <c r="AZ2">
        <v>46093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46093</v>
      </c>
      <c r="BU2">
        <v>46093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 t="s">
        <v>253</v>
      </c>
      <c r="CI2">
        <v>0</v>
      </c>
      <c r="CJ2" t="s">
        <v>487</v>
      </c>
      <c r="CK2" t="s">
        <v>307</v>
      </c>
      <c r="CL2" t="s">
        <v>308</v>
      </c>
      <c r="CM2" t="s">
        <v>309</v>
      </c>
      <c r="CN2" t="s">
        <v>233</v>
      </c>
      <c r="CO2">
        <v>0</v>
      </c>
      <c r="CP2">
        <v>0</v>
      </c>
      <c r="CQ2">
        <v>0</v>
      </c>
      <c r="CR2">
        <v>0</v>
      </c>
      <c r="CS2" t="s">
        <v>351</v>
      </c>
      <c r="CT2">
        <v>0</v>
      </c>
      <c r="CU2">
        <v>0</v>
      </c>
      <c r="CV2" t="s">
        <v>496</v>
      </c>
      <c r="CW2">
        <v>0</v>
      </c>
      <c r="CX2">
        <v>0</v>
      </c>
      <c r="CY2" t="s">
        <v>315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</row>
    <row r="3" spans="1:132" x14ac:dyDescent="0.35">
      <c r="A3">
        <v>0</v>
      </c>
      <c r="B3" t="s">
        <v>236</v>
      </c>
      <c r="C3">
        <v>0</v>
      </c>
      <c r="D3">
        <v>0</v>
      </c>
      <c r="E3" t="s">
        <v>239</v>
      </c>
      <c r="F3" t="s">
        <v>349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46090</v>
      </c>
      <c r="AZ3">
        <v>46090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 t="s">
        <v>239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46090</v>
      </c>
      <c r="BU3">
        <v>46090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 t="s">
        <v>239</v>
      </c>
      <c r="CH3" t="s">
        <v>253</v>
      </c>
      <c r="CI3">
        <v>0</v>
      </c>
      <c r="CJ3" t="s">
        <v>487</v>
      </c>
      <c r="CK3" t="s">
        <v>307</v>
      </c>
      <c r="CL3" t="s">
        <v>308</v>
      </c>
      <c r="CM3" t="s">
        <v>309</v>
      </c>
      <c r="CN3" t="s">
        <v>233</v>
      </c>
      <c r="CO3">
        <v>0</v>
      </c>
      <c r="CP3">
        <v>0</v>
      </c>
      <c r="CQ3">
        <v>0</v>
      </c>
      <c r="CR3">
        <v>0</v>
      </c>
      <c r="CS3" t="s">
        <v>351</v>
      </c>
      <c r="CT3">
        <v>0</v>
      </c>
      <c r="CU3">
        <v>0</v>
      </c>
      <c r="CV3" t="s">
        <v>496</v>
      </c>
      <c r="CW3">
        <v>0</v>
      </c>
      <c r="CX3">
        <v>0</v>
      </c>
      <c r="CY3" t="s">
        <v>315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</row>
    <row r="4" spans="1:132" x14ac:dyDescent="0.35">
      <c r="A4">
        <v>0</v>
      </c>
      <c r="B4" t="s">
        <v>236</v>
      </c>
      <c r="C4">
        <v>0</v>
      </c>
      <c r="D4">
        <v>0</v>
      </c>
      <c r="E4" t="s">
        <v>239</v>
      </c>
      <c r="F4" t="s">
        <v>349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46090</v>
      </c>
      <c r="AZ4">
        <v>46090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 t="s">
        <v>239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46090</v>
      </c>
      <c r="BU4">
        <v>46090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 t="s">
        <v>239</v>
      </c>
      <c r="CH4" t="s">
        <v>253</v>
      </c>
      <c r="CI4">
        <v>0</v>
      </c>
      <c r="CJ4" t="s">
        <v>487</v>
      </c>
      <c r="CK4" t="s">
        <v>307</v>
      </c>
      <c r="CL4" t="s">
        <v>308</v>
      </c>
      <c r="CM4" t="s">
        <v>309</v>
      </c>
      <c r="CN4" t="s">
        <v>233</v>
      </c>
      <c r="CO4">
        <v>0</v>
      </c>
      <c r="CP4">
        <v>0</v>
      </c>
      <c r="CQ4">
        <v>0</v>
      </c>
      <c r="CR4">
        <v>0</v>
      </c>
      <c r="CS4" t="s">
        <v>351</v>
      </c>
      <c r="CT4">
        <v>0</v>
      </c>
      <c r="CU4">
        <v>0</v>
      </c>
      <c r="CV4" t="s">
        <v>496</v>
      </c>
      <c r="CW4">
        <v>0</v>
      </c>
      <c r="CX4">
        <v>0</v>
      </c>
      <c r="CY4" t="s">
        <v>315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80C5D-1C8D-4460-9C1B-4D4B0EC9CC58}">
  <sheetPr codeName="Sheet7"/>
  <dimension ref="C2:ED2"/>
  <sheetViews>
    <sheetView workbookViewId="0">
      <selection activeCell="C2" sqref="C2:ED2"/>
    </sheetView>
  </sheetViews>
  <sheetFormatPr defaultRowHeight="14.5" x14ac:dyDescent="0.35"/>
  <sheetData>
    <row r="2" spans="3:134" x14ac:dyDescent="0.35">
      <c r="C2">
        <v>0</v>
      </c>
      <c r="D2" t="s">
        <v>236</v>
      </c>
      <c r="E2" t="s">
        <v>640</v>
      </c>
      <c r="F2" t="s">
        <v>221</v>
      </c>
      <c r="G2" t="s">
        <v>239</v>
      </c>
      <c r="H2" t="s">
        <v>349</v>
      </c>
      <c r="I2">
        <v>0</v>
      </c>
      <c r="J2">
        <v>0</v>
      </c>
      <c r="K2">
        <v>0</v>
      </c>
      <c r="L2" t="s">
        <v>640</v>
      </c>
      <c r="M2">
        <v>0</v>
      </c>
      <c r="N2">
        <v>0</v>
      </c>
      <c r="O2">
        <v>0</v>
      </c>
      <c r="P2" t="s">
        <v>640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 t="s">
        <v>640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 t="s">
        <v>640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 t="s">
        <v>641</v>
      </c>
      <c r="AV2">
        <v>0</v>
      </c>
      <c r="AW2">
        <v>0</v>
      </c>
      <c r="AX2" t="s">
        <v>642</v>
      </c>
      <c r="AY2">
        <v>0</v>
      </c>
      <c r="AZ2">
        <v>0</v>
      </c>
      <c r="BA2">
        <v>46094</v>
      </c>
      <c r="BB2">
        <v>46094</v>
      </c>
      <c r="BC2">
        <v>0</v>
      </c>
      <c r="BD2" t="s">
        <v>643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 t="s">
        <v>233</v>
      </c>
      <c r="BL2" t="s">
        <v>350</v>
      </c>
      <c r="BM2">
        <v>0</v>
      </c>
      <c r="BN2" t="s">
        <v>239</v>
      </c>
      <c r="BO2">
        <v>0</v>
      </c>
      <c r="BP2" t="s">
        <v>645</v>
      </c>
      <c r="BQ2">
        <v>0</v>
      </c>
      <c r="BR2">
        <v>0</v>
      </c>
      <c r="BS2" t="s">
        <v>640</v>
      </c>
      <c r="BT2">
        <v>0</v>
      </c>
      <c r="BU2">
        <v>0</v>
      </c>
      <c r="BV2">
        <v>46094</v>
      </c>
      <c r="BW2">
        <v>46094</v>
      </c>
      <c r="BX2">
        <v>0</v>
      </c>
      <c r="BY2" t="s">
        <v>640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 t="s">
        <v>233</v>
      </c>
      <c r="CG2" t="s">
        <v>350</v>
      </c>
      <c r="CH2">
        <v>0</v>
      </c>
      <c r="CI2" t="s">
        <v>233</v>
      </c>
      <c r="CJ2" t="s">
        <v>253</v>
      </c>
      <c r="CK2" t="s">
        <v>644</v>
      </c>
      <c r="CL2" t="s">
        <v>487</v>
      </c>
      <c r="CM2" t="s">
        <v>307</v>
      </c>
      <c r="CN2" t="s">
        <v>308</v>
      </c>
      <c r="CO2" t="s">
        <v>309</v>
      </c>
      <c r="CP2" t="s">
        <v>233</v>
      </c>
      <c r="CQ2" t="s">
        <v>233</v>
      </c>
      <c r="CR2" t="s">
        <v>235</v>
      </c>
      <c r="CS2">
        <v>0</v>
      </c>
      <c r="CT2" t="s">
        <v>233</v>
      </c>
      <c r="CU2" t="s">
        <v>351</v>
      </c>
      <c r="CV2">
        <v>0</v>
      </c>
      <c r="CW2">
        <v>0</v>
      </c>
      <c r="CX2" t="s">
        <v>496</v>
      </c>
      <c r="CY2">
        <v>0</v>
      </c>
      <c r="CZ2" t="s">
        <v>643</v>
      </c>
      <c r="DA2" t="s">
        <v>315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 t="s">
        <v>646</v>
      </c>
      <c r="DK2" t="s">
        <v>233</v>
      </c>
      <c r="DL2">
        <v>0</v>
      </c>
      <c r="DM2" t="s">
        <v>233</v>
      </c>
      <c r="DN2" t="s">
        <v>239</v>
      </c>
      <c r="DO2" t="s">
        <v>640</v>
      </c>
      <c r="DP2" t="s">
        <v>233</v>
      </c>
      <c r="DQ2">
        <v>0</v>
      </c>
      <c r="DR2" t="s">
        <v>233</v>
      </c>
      <c r="DS2" t="s">
        <v>233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"/>
  <sheetViews>
    <sheetView workbookViewId="0">
      <selection activeCell="J5" sqref="J5"/>
    </sheetView>
  </sheetViews>
  <sheetFormatPr defaultRowHeight="14.5" x14ac:dyDescent="0.35"/>
  <cols>
    <col min="1" max="1" width="12.6328125" bestFit="1" customWidth="1"/>
    <col min="2" max="2" width="6.6328125" bestFit="1" customWidth="1"/>
    <col min="3" max="3" width="18" bestFit="1" customWidth="1"/>
    <col min="4" max="4" width="10.6328125" bestFit="1" customWidth="1"/>
    <col min="5" max="5" width="18.453125" bestFit="1" customWidth="1"/>
    <col min="6" max="6" width="13" bestFit="1" customWidth="1"/>
    <col min="7" max="7" width="13.6328125" bestFit="1" customWidth="1"/>
    <col min="8" max="8" width="11" bestFit="1" customWidth="1"/>
    <col min="9" max="9" width="30.36328125" bestFit="1" customWidth="1"/>
    <col min="10" max="10" width="17.36328125" bestFit="1" customWidth="1"/>
    <col min="11" max="11" width="22.54296875" bestFit="1" customWidth="1"/>
  </cols>
  <sheetData>
    <row r="1" spans="1:11" x14ac:dyDescent="0.35">
      <c r="A1" t="s">
        <v>225</v>
      </c>
      <c r="B1" t="s">
        <v>226</v>
      </c>
      <c r="C1" t="s">
        <v>227</v>
      </c>
      <c r="D1" t="s">
        <v>228</v>
      </c>
      <c r="E1" t="s">
        <v>229</v>
      </c>
      <c r="F1" t="s">
        <v>230</v>
      </c>
      <c r="G1" t="s">
        <v>231</v>
      </c>
      <c r="H1" t="s">
        <v>220</v>
      </c>
      <c r="I1" t="s">
        <v>258</v>
      </c>
      <c r="J1" t="s">
        <v>355</v>
      </c>
      <c r="K1" t="s">
        <v>356</v>
      </c>
    </row>
    <row r="2" spans="1:11" x14ac:dyDescent="0.35">
      <c r="A2" t="s">
        <v>232</v>
      </c>
      <c r="B2" t="s">
        <v>233</v>
      </c>
      <c r="C2" t="s">
        <v>234</v>
      </c>
      <c r="D2" t="s">
        <v>235</v>
      </c>
      <c r="E2" t="s">
        <v>282</v>
      </c>
      <c r="F2" t="s">
        <v>236</v>
      </c>
      <c r="G2" t="s">
        <v>237</v>
      </c>
      <c r="H2" t="s">
        <v>221</v>
      </c>
      <c r="I2" t="s">
        <v>259</v>
      </c>
      <c r="J2" t="s">
        <v>357</v>
      </c>
      <c r="K2" t="s">
        <v>358</v>
      </c>
    </row>
    <row r="3" spans="1:11" x14ac:dyDescent="0.35">
      <c r="A3" t="s">
        <v>238</v>
      </c>
      <c r="B3" t="s">
        <v>239</v>
      </c>
      <c r="C3" t="s">
        <v>240</v>
      </c>
      <c r="D3" t="s">
        <v>241</v>
      </c>
      <c r="E3" t="s">
        <v>283</v>
      </c>
      <c r="F3" t="s">
        <v>242</v>
      </c>
      <c r="G3" t="s">
        <v>243</v>
      </c>
      <c r="H3" t="s">
        <v>222</v>
      </c>
      <c r="I3" t="s">
        <v>260</v>
      </c>
      <c r="J3" t="s">
        <v>478</v>
      </c>
      <c r="K3" t="s">
        <v>479</v>
      </c>
    </row>
    <row r="4" spans="1:11" x14ac:dyDescent="0.35">
      <c r="A4" t="s">
        <v>244</v>
      </c>
      <c r="B4" t="s">
        <v>245</v>
      </c>
      <c r="C4" t="s">
        <v>246</v>
      </c>
      <c r="D4" t="s">
        <v>247</v>
      </c>
      <c r="E4" t="s">
        <v>284</v>
      </c>
      <c r="F4" t="s">
        <v>248</v>
      </c>
      <c r="G4" t="s">
        <v>249</v>
      </c>
      <c r="H4" t="s">
        <v>223</v>
      </c>
      <c r="J4" t="s">
        <v>480</v>
      </c>
    </row>
    <row r="5" spans="1:11" x14ac:dyDescent="0.35">
      <c r="A5" t="s">
        <v>250</v>
      </c>
      <c r="B5" t="s">
        <v>245</v>
      </c>
      <c r="C5" t="s">
        <v>245</v>
      </c>
      <c r="D5" t="s">
        <v>251</v>
      </c>
      <c r="E5" t="s">
        <v>245</v>
      </c>
      <c r="F5" t="s">
        <v>252</v>
      </c>
      <c r="G5" t="s">
        <v>253</v>
      </c>
      <c r="H5" t="s">
        <v>224</v>
      </c>
    </row>
    <row r="6" spans="1:11" x14ac:dyDescent="0.35">
      <c r="A6" t="s">
        <v>254</v>
      </c>
      <c r="B6" t="s">
        <v>245</v>
      </c>
      <c r="C6" t="s">
        <v>245</v>
      </c>
      <c r="D6" t="s">
        <v>255</v>
      </c>
      <c r="E6" t="s">
        <v>245</v>
      </c>
      <c r="F6" t="s">
        <v>245</v>
      </c>
      <c r="G6" t="s">
        <v>256</v>
      </c>
    </row>
    <row r="7" spans="1:11" x14ac:dyDescent="0.35">
      <c r="A7" t="s">
        <v>245</v>
      </c>
      <c r="B7" t="s">
        <v>245</v>
      </c>
      <c r="C7" t="s">
        <v>245</v>
      </c>
      <c r="D7" t="s">
        <v>257</v>
      </c>
      <c r="E7" t="s">
        <v>245</v>
      </c>
      <c r="F7" t="s">
        <v>245</v>
      </c>
      <c r="G7" t="s">
        <v>245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70"/>
  <sheetViews>
    <sheetView workbookViewId="0"/>
  </sheetViews>
  <sheetFormatPr defaultRowHeight="14.5" x14ac:dyDescent="0.35"/>
  <sheetData>
    <row r="1" spans="1:8" x14ac:dyDescent="0.35">
      <c r="A1" t="s">
        <v>19</v>
      </c>
      <c r="B1" t="s">
        <v>20</v>
      </c>
      <c r="C1" t="s">
        <v>21</v>
      </c>
      <c r="D1" t="s">
        <v>22</v>
      </c>
      <c r="F1" t="s">
        <v>23</v>
      </c>
      <c r="G1" t="s">
        <v>24</v>
      </c>
      <c r="H1" t="s">
        <v>25</v>
      </c>
    </row>
    <row r="2" spans="1:8" x14ac:dyDescent="0.35">
      <c r="A2" t="s">
        <v>26</v>
      </c>
      <c r="B2" t="s">
        <v>27</v>
      </c>
      <c r="C2" t="s">
        <v>28</v>
      </c>
      <c r="F2" t="b">
        <f t="shared" ref="F2:F28" si="0">IF(C2=FALSE, FALSE, IF(D2="", TRUE, ))</f>
        <v>1</v>
      </c>
      <c r="G2" t="b">
        <f t="shared" ref="G2:G33" ca="1" si="1">AND(F2=TRUE, LEN(INDIRECT(B2))=0)</f>
        <v>0</v>
      </c>
      <c r="H2" t="str">
        <f t="shared" ref="H2:H33" ca="1" si="2">IF(G2, A2, "")</f>
        <v/>
      </c>
    </row>
    <row r="3" spans="1:8" x14ac:dyDescent="0.35">
      <c r="A3" t="s">
        <v>29</v>
      </c>
      <c r="B3" t="s">
        <v>30</v>
      </c>
      <c r="C3" t="s">
        <v>28</v>
      </c>
      <c r="F3" t="b">
        <f t="shared" si="0"/>
        <v>1</v>
      </c>
      <c r="G3" t="b">
        <f t="shared" ca="1" si="1"/>
        <v>0</v>
      </c>
      <c r="H3" t="str">
        <f t="shared" ca="1" si="2"/>
        <v/>
      </c>
    </row>
    <row r="4" spans="1:8" x14ac:dyDescent="0.35">
      <c r="A4" t="s">
        <v>31</v>
      </c>
      <c r="B4" t="s">
        <v>32</v>
      </c>
      <c r="C4" t="s">
        <v>28</v>
      </c>
      <c r="F4" t="b">
        <f t="shared" si="0"/>
        <v>1</v>
      </c>
      <c r="G4" t="b">
        <f t="shared" ca="1" si="1"/>
        <v>0</v>
      </c>
      <c r="H4" t="str">
        <f t="shared" ca="1" si="2"/>
        <v/>
      </c>
    </row>
    <row r="5" spans="1:8" x14ac:dyDescent="0.35">
      <c r="A5" t="s">
        <v>33</v>
      </c>
      <c r="B5" t="s">
        <v>34</v>
      </c>
      <c r="C5" t="s">
        <v>28</v>
      </c>
      <c r="F5" t="b">
        <f t="shared" si="0"/>
        <v>1</v>
      </c>
      <c r="G5" t="b">
        <f t="shared" ca="1" si="1"/>
        <v>0</v>
      </c>
      <c r="H5" t="str">
        <f t="shared" ca="1" si="2"/>
        <v/>
      </c>
    </row>
    <row r="6" spans="1:8" x14ac:dyDescent="0.35">
      <c r="A6" t="s">
        <v>35</v>
      </c>
      <c r="B6" t="s">
        <v>36</v>
      </c>
      <c r="C6" t="s">
        <v>28</v>
      </c>
      <c r="F6" t="b">
        <f t="shared" si="0"/>
        <v>1</v>
      </c>
      <c r="G6" t="b">
        <f t="shared" ca="1" si="1"/>
        <v>0</v>
      </c>
      <c r="H6" t="str">
        <f t="shared" ca="1" si="2"/>
        <v/>
      </c>
    </row>
    <row r="7" spans="1:8" x14ac:dyDescent="0.35">
      <c r="A7" t="s">
        <v>37</v>
      </c>
      <c r="B7" t="s">
        <v>38</v>
      </c>
      <c r="C7" t="s">
        <v>28</v>
      </c>
      <c r="F7" t="b">
        <f t="shared" si="0"/>
        <v>1</v>
      </c>
      <c r="G7" t="b">
        <f t="shared" ca="1" si="1"/>
        <v>0</v>
      </c>
      <c r="H7" t="str">
        <f t="shared" ca="1" si="2"/>
        <v/>
      </c>
    </row>
    <row r="8" spans="1:8" x14ac:dyDescent="0.35">
      <c r="A8" t="s">
        <v>1</v>
      </c>
      <c r="B8" t="s">
        <v>39</v>
      </c>
      <c r="C8" t="s">
        <v>40</v>
      </c>
      <c r="F8" t="b">
        <f t="shared" si="0"/>
        <v>1</v>
      </c>
      <c r="G8" t="b">
        <f t="shared" ca="1" si="1"/>
        <v>0</v>
      </c>
      <c r="H8" t="str">
        <f t="shared" ca="1" si="2"/>
        <v/>
      </c>
    </row>
    <row r="9" spans="1:8" x14ac:dyDescent="0.35">
      <c r="A9" t="s">
        <v>41</v>
      </c>
      <c r="B9" t="s">
        <v>42</v>
      </c>
      <c r="C9" t="s">
        <v>40</v>
      </c>
      <c r="F9" t="b">
        <f t="shared" si="0"/>
        <v>1</v>
      </c>
      <c r="G9" t="b">
        <f t="shared" ca="1" si="1"/>
        <v>0</v>
      </c>
      <c r="H9" t="str">
        <f t="shared" ca="1" si="2"/>
        <v/>
      </c>
    </row>
    <row r="10" spans="1:8" x14ac:dyDescent="0.35">
      <c r="A10" t="s">
        <v>43</v>
      </c>
      <c r="B10" t="s">
        <v>44</v>
      </c>
      <c r="C10" t="s">
        <v>40</v>
      </c>
      <c r="F10" t="b">
        <f t="shared" si="0"/>
        <v>1</v>
      </c>
      <c r="G10" t="b">
        <f t="shared" ca="1" si="1"/>
        <v>0</v>
      </c>
      <c r="H10" t="str">
        <f t="shared" ca="1" si="2"/>
        <v/>
      </c>
    </row>
    <row r="11" spans="1:8" x14ac:dyDescent="0.35">
      <c r="A11" t="s">
        <v>45</v>
      </c>
      <c r="B11" t="s">
        <v>46</v>
      </c>
      <c r="C11" t="s">
        <v>40</v>
      </c>
      <c r="F11" t="b">
        <f t="shared" si="0"/>
        <v>1</v>
      </c>
      <c r="G11" t="b">
        <f t="shared" ca="1" si="1"/>
        <v>0</v>
      </c>
      <c r="H11" t="str">
        <f t="shared" ca="1" si="2"/>
        <v/>
      </c>
    </row>
    <row r="12" spans="1:8" x14ac:dyDescent="0.35">
      <c r="A12" t="s">
        <v>47</v>
      </c>
      <c r="B12" t="s">
        <v>48</v>
      </c>
      <c r="C12" t="s">
        <v>40</v>
      </c>
      <c r="F12" t="b">
        <f t="shared" si="0"/>
        <v>1</v>
      </c>
      <c r="G12" t="b">
        <f t="shared" ca="1" si="1"/>
        <v>0</v>
      </c>
      <c r="H12" t="str">
        <f t="shared" ca="1" si="2"/>
        <v/>
      </c>
    </row>
    <row r="13" spans="1:8" x14ac:dyDescent="0.35">
      <c r="A13" t="s">
        <v>49</v>
      </c>
      <c r="B13" t="s">
        <v>50</v>
      </c>
      <c r="C13" t="s">
        <v>40</v>
      </c>
      <c r="F13" t="b">
        <f t="shared" si="0"/>
        <v>1</v>
      </c>
      <c r="G13" t="b">
        <f t="shared" ca="1" si="1"/>
        <v>0</v>
      </c>
      <c r="H13" t="str">
        <f t="shared" ca="1" si="2"/>
        <v/>
      </c>
    </row>
    <row r="14" spans="1:8" x14ac:dyDescent="0.35">
      <c r="A14" t="s">
        <v>51</v>
      </c>
      <c r="B14" t="s">
        <v>52</v>
      </c>
      <c r="C14" t="s">
        <v>40</v>
      </c>
      <c r="F14" t="b">
        <f t="shared" si="0"/>
        <v>1</v>
      </c>
      <c r="G14" t="b">
        <f t="shared" ca="1" si="1"/>
        <v>0</v>
      </c>
      <c r="H14" t="str">
        <f t="shared" ca="1" si="2"/>
        <v/>
      </c>
    </row>
    <row r="15" spans="1:8" x14ac:dyDescent="0.35">
      <c r="A15" t="s">
        <v>53</v>
      </c>
      <c r="B15" t="s">
        <v>54</v>
      </c>
      <c r="C15" t="s">
        <v>40</v>
      </c>
      <c r="F15" t="b">
        <f t="shared" si="0"/>
        <v>1</v>
      </c>
      <c r="G15" t="b">
        <f t="shared" ca="1" si="1"/>
        <v>0</v>
      </c>
      <c r="H15" t="str">
        <f t="shared" ca="1" si="2"/>
        <v/>
      </c>
    </row>
    <row r="16" spans="1:8" x14ac:dyDescent="0.35">
      <c r="A16" t="s">
        <v>55</v>
      </c>
      <c r="B16" t="s">
        <v>56</v>
      </c>
      <c r="C16" t="s">
        <v>40</v>
      </c>
      <c r="F16" t="b">
        <f t="shared" si="0"/>
        <v>1</v>
      </c>
      <c r="G16" t="b">
        <f t="shared" ca="1" si="1"/>
        <v>0</v>
      </c>
      <c r="H16" t="str">
        <f t="shared" ca="1" si="2"/>
        <v/>
      </c>
    </row>
    <row r="17" spans="1:8" x14ac:dyDescent="0.35">
      <c r="A17" t="s">
        <v>57</v>
      </c>
      <c r="B17" t="s">
        <v>58</v>
      </c>
      <c r="C17" t="s">
        <v>40</v>
      </c>
      <c r="F17" t="b">
        <f t="shared" si="0"/>
        <v>1</v>
      </c>
      <c r="G17" t="b">
        <f t="shared" ca="1" si="1"/>
        <v>0</v>
      </c>
      <c r="H17" t="str">
        <f t="shared" ca="1" si="2"/>
        <v/>
      </c>
    </row>
    <row r="18" spans="1:8" x14ac:dyDescent="0.35">
      <c r="A18" t="s">
        <v>59</v>
      </c>
      <c r="B18" t="s">
        <v>60</v>
      </c>
      <c r="C18" t="s">
        <v>40</v>
      </c>
      <c r="F18" t="b">
        <f t="shared" si="0"/>
        <v>1</v>
      </c>
      <c r="G18" t="b">
        <f t="shared" ca="1" si="1"/>
        <v>0</v>
      </c>
      <c r="H18" t="str">
        <f t="shared" ca="1" si="2"/>
        <v/>
      </c>
    </row>
    <row r="19" spans="1:8" x14ac:dyDescent="0.35">
      <c r="A19" t="s">
        <v>61</v>
      </c>
      <c r="B19" t="s">
        <v>62</v>
      </c>
      <c r="C19" t="s">
        <v>40</v>
      </c>
      <c r="F19" t="b">
        <f t="shared" si="0"/>
        <v>1</v>
      </c>
      <c r="G19" t="b">
        <f t="shared" ca="1" si="1"/>
        <v>0</v>
      </c>
      <c r="H19" t="str">
        <f t="shared" ca="1" si="2"/>
        <v/>
      </c>
    </row>
    <row r="20" spans="1:8" x14ac:dyDescent="0.35">
      <c r="A20" t="s">
        <v>63</v>
      </c>
      <c r="B20" t="s">
        <v>64</v>
      </c>
      <c r="C20" t="s">
        <v>40</v>
      </c>
      <c r="F20" t="b">
        <f t="shared" si="0"/>
        <v>1</v>
      </c>
      <c r="G20" t="b">
        <f t="shared" ca="1" si="1"/>
        <v>0</v>
      </c>
      <c r="H20" t="str">
        <f t="shared" ca="1" si="2"/>
        <v/>
      </c>
    </row>
    <row r="21" spans="1:8" x14ac:dyDescent="0.35">
      <c r="A21" t="s">
        <v>65</v>
      </c>
      <c r="B21" t="s">
        <v>66</v>
      </c>
      <c r="C21" t="s">
        <v>40</v>
      </c>
      <c r="F21" t="b">
        <f t="shared" si="0"/>
        <v>1</v>
      </c>
      <c r="G21" t="b">
        <f t="shared" ca="1" si="1"/>
        <v>0</v>
      </c>
      <c r="H21" t="str">
        <f t="shared" ca="1" si="2"/>
        <v/>
      </c>
    </row>
    <row r="22" spans="1:8" x14ac:dyDescent="0.35">
      <c r="A22" t="s">
        <v>67</v>
      </c>
      <c r="B22" t="s">
        <v>68</v>
      </c>
      <c r="C22" t="s">
        <v>40</v>
      </c>
      <c r="F22" t="b">
        <f t="shared" si="0"/>
        <v>1</v>
      </c>
      <c r="G22" t="b">
        <f t="shared" ca="1" si="1"/>
        <v>0</v>
      </c>
      <c r="H22" t="str">
        <f t="shared" ca="1" si="2"/>
        <v/>
      </c>
    </row>
    <row r="23" spans="1:8" x14ac:dyDescent="0.35">
      <c r="A23" t="s">
        <v>69</v>
      </c>
      <c r="B23" t="s">
        <v>70</v>
      </c>
      <c r="C23" t="s">
        <v>40</v>
      </c>
      <c r="F23" t="b">
        <f t="shared" si="0"/>
        <v>1</v>
      </c>
      <c r="G23" t="b">
        <f t="shared" ca="1" si="1"/>
        <v>0</v>
      </c>
      <c r="H23" t="str">
        <f t="shared" ca="1" si="2"/>
        <v/>
      </c>
    </row>
    <row r="24" spans="1:8" x14ac:dyDescent="0.35">
      <c r="A24" t="s">
        <v>71</v>
      </c>
      <c r="B24" t="s">
        <v>72</v>
      </c>
      <c r="C24" t="s">
        <v>40</v>
      </c>
      <c r="F24" t="b">
        <f t="shared" si="0"/>
        <v>1</v>
      </c>
      <c r="G24" t="b">
        <f t="shared" ca="1" si="1"/>
        <v>1</v>
      </c>
      <c r="H24" t="str">
        <f t="shared" ca="1" si="2"/>
        <v>Pickup Date</v>
      </c>
    </row>
    <row r="25" spans="1:8" x14ac:dyDescent="0.35">
      <c r="A25" t="s">
        <v>73</v>
      </c>
      <c r="B25" t="s">
        <v>74</v>
      </c>
      <c r="C25" t="s">
        <v>40</v>
      </c>
      <c r="F25" t="b">
        <f t="shared" si="0"/>
        <v>1</v>
      </c>
      <c r="G25" t="b">
        <f t="shared" ca="1" si="1"/>
        <v>1</v>
      </c>
      <c r="H25" t="str">
        <f t="shared" ca="1" si="2"/>
        <v>Pickup Time</v>
      </c>
    </row>
    <row r="26" spans="1:8" x14ac:dyDescent="0.35">
      <c r="A26" t="s">
        <v>75</v>
      </c>
      <c r="B26" t="s">
        <v>76</v>
      </c>
      <c r="C26" t="s">
        <v>40</v>
      </c>
      <c r="F26" t="b">
        <f t="shared" si="0"/>
        <v>1</v>
      </c>
      <c r="G26" t="b">
        <f t="shared" ca="1" si="1"/>
        <v>1</v>
      </c>
      <c r="H26" t="str">
        <f t="shared" ca="1" si="2"/>
        <v>Pickup Address</v>
      </c>
    </row>
    <row r="27" spans="1:8" x14ac:dyDescent="0.35">
      <c r="A27" t="s">
        <v>77</v>
      </c>
      <c r="B27" t="s">
        <v>78</v>
      </c>
      <c r="C27" t="s">
        <v>40</v>
      </c>
      <c r="F27" t="b">
        <f t="shared" si="0"/>
        <v>1</v>
      </c>
      <c r="G27" t="b">
        <f t="shared" ca="1" si="1"/>
        <v>1</v>
      </c>
      <c r="H27" t="str">
        <f t="shared" ca="1" si="2"/>
        <v>Pickup Address Type</v>
      </c>
    </row>
    <row r="28" spans="1:8" x14ac:dyDescent="0.35">
      <c r="A28" t="s">
        <v>79</v>
      </c>
      <c r="B28" t="s">
        <v>80</v>
      </c>
      <c r="C28" t="s">
        <v>40</v>
      </c>
      <c r="F28" t="b">
        <f t="shared" si="0"/>
        <v>1</v>
      </c>
      <c r="G28" t="b">
        <f t="shared" ca="1" si="1"/>
        <v>1</v>
      </c>
      <c r="H28" t="str">
        <f t="shared" ca="1" si="2"/>
        <v>Pickup Appt Required</v>
      </c>
    </row>
    <row r="29" spans="1:8" x14ac:dyDescent="0.35">
      <c r="A29" t="s">
        <v>81</v>
      </c>
      <c r="B29" t="s">
        <v>82</v>
      </c>
      <c r="C29" t="s">
        <v>40</v>
      </c>
      <c r="D29" t="s">
        <v>83</v>
      </c>
      <c r="F29" t="e">
        <f>IF(C29=FALSE, FALSE, IF(D29="", TRUE, 'LTL ORDER MGMT FORM'!#REF!="Yes"))</f>
        <v>#REF!</v>
      </c>
      <c r="G29" t="e">
        <f t="shared" ca="1" si="1"/>
        <v>#REF!</v>
      </c>
      <c r="H29" t="e">
        <f t="shared" ca="1" si="2"/>
        <v>#REF!</v>
      </c>
    </row>
    <row r="30" spans="1:8" x14ac:dyDescent="0.35">
      <c r="A30" t="s">
        <v>84</v>
      </c>
      <c r="B30" t="s">
        <v>85</v>
      </c>
      <c r="C30" t="s">
        <v>40</v>
      </c>
      <c r="D30" t="s">
        <v>83</v>
      </c>
      <c r="F30" t="e">
        <f>IF(C30=FALSE, FALSE, IF(D30="", TRUE, 'LTL ORDER MGMT FORM'!#REF!="Yes"))</f>
        <v>#REF!</v>
      </c>
      <c r="G30" t="e">
        <f t="shared" ca="1" si="1"/>
        <v>#REF!</v>
      </c>
      <c r="H30" t="e">
        <f t="shared" ca="1" si="2"/>
        <v>#REF!</v>
      </c>
    </row>
    <row r="31" spans="1:8" x14ac:dyDescent="0.35">
      <c r="A31" t="s">
        <v>86</v>
      </c>
      <c r="B31" t="s">
        <v>87</v>
      </c>
      <c r="C31" t="s">
        <v>40</v>
      </c>
      <c r="F31" t="b">
        <f t="shared" ref="F31:F36" si="3">IF(C31=FALSE, FALSE, IF(D31="", TRUE, ))</f>
        <v>1</v>
      </c>
      <c r="G31" t="b">
        <f t="shared" ca="1" si="1"/>
        <v>1</v>
      </c>
      <c r="H31" t="str">
        <f t="shared" ca="1" si="2"/>
        <v>Pickup Appt Type</v>
      </c>
    </row>
    <row r="32" spans="1:8" x14ac:dyDescent="0.35">
      <c r="A32" t="s">
        <v>88</v>
      </c>
      <c r="B32" t="s">
        <v>89</v>
      </c>
      <c r="C32" t="s">
        <v>40</v>
      </c>
      <c r="F32" t="b">
        <f t="shared" si="3"/>
        <v>1</v>
      </c>
      <c r="G32" t="b">
        <f t="shared" ca="1" si="1"/>
        <v>1</v>
      </c>
      <c r="H32" t="str">
        <f t="shared" ca="1" si="2"/>
        <v>Delivery Date</v>
      </c>
    </row>
    <row r="33" spans="1:8" x14ac:dyDescent="0.35">
      <c r="A33" t="s">
        <v>90</v>
      </c>
      <c r="B33" t="s">
        <v>91</v>
      </c>
      <c r="C33" t="s">
        <v>40</v>
      </c>
      <c r="F33" t="b">
        <f t="shared" si="3"/>
        <v>1</v>
      </c>
      <c r="G33" t="b">
        <f t="shared" ca="1" si="1"/>
        <v>1</v>
      </c>
      <c r="H33" t="str">
        <f t="shared" ca="1" si="2"/>
        <v>Delivery Time</v>
      </c>
    </row>
    <row r="34" spans="1:8" x14ac:dyDescent="0.35">
      <c r="A34" t="s">
        <v>92</v>
      </c>
      <c r="B34" t="s">
        <v>93</v>
      </c>
      <c r="C34" t="s">
        <v>40</v>
      </c>
      <c r="F34" t="b">
        <f t="shared" si="3"/>
        <v>1</v>
      </c>
      <c r="G34" t="b">
        <f t="shared" ref="G34:G65" ca="1" si="4">AND(F34=TRUE, LEN(INDIRECT(B34))=0)</f>
        <v>1</v>
      </c>
      <c r="H34" t="str">
        <f t="shared" ref="H34:H65" ca="1" si="5">IF(G34, A34, "")</f>
        <v>Delivery Address</v>
      </c>
    </row>
    <row r="35" spans="1:8" x14ac:dyDescent="0.35">
      <c r="A35" t="s">
        <v>94</v>
      </c>
      <c r="B35" t="s">
        <v>95</v>
      </c>
      <c r="C35" t="s">
        <v>40</v>
      </c>
      <c r="F35" t="b">
        <f t="shared" si="3"/>
        <v>1</v>
      </c>
      <c r="G35" t="b">
        <f t="shared" ca="1" si="4"/>
        <v>1</v>
      </c>
      <c r="H35" t="str">
        <f t="shared" ca="1" si="5"/>
        <v>Delivery Address Type</v>
      </c>
    </row>
    <row r="36" spans="1:8" x14ac:dyDescent="0.35">
      <c r="A36" t="s">
        <v>96</v>
      </c>
      <c r="B36" t="s">
        <v>97</v>
      </c>
      <c r="C36" t="s">
        <v>40</v>
      </c>
      <c r="F36" t="b">
        <f t="shared" si="3"/>
        <v>1</v>
      </c>
      <c r="G36" t="b">
        <f t="shared" ca="1" si="4"/>
        <v>1</v>
      </c>
      <c r="H36" t="str">
        <f t="shared" ca="1" si="5"/>
        <v>Delivery Appt Required</v>
      </c>
    </row>
    <row r="37" spans="1:8" x14ac:dyDescent="0.35">
      <c r="A37" t="s">
        <v>98</v>
      </c>
      <c r="B37" t="s">
        <v>99</v>
      </c>
      <c r="C37" t="s">
        <v>40</v>
      </c>
      <c r="D37" t="s">
        <v>100</v>
      </c>
      <c r="F37" t="e">
        <f>IF(C37=FALSE, FALSE, IF(D37="", TRUE, 'LTL ORDER MGMT FORM'!#REF!="Yes"))</f>
        <v>#REF!</v>
      </c>
      <c r="G37" t="e">
        <f t="shared" ca="1" si="4"/>
        <v>#REF!</v>
      </c>
      <c r="H37" t="e">
        <f t="shared" ca="1" si="5"/>
        <v>#REF!</v>
      </c>
    </row>
    <row r="38" spans="1:8" x14ac:dyDescent="0.35">
      <c r="A38" t="s">
        <v>101</v>
      </c>
      <c r="B38" t="s">
        <v>102</v>
      </c>
      <c r="C38" t="s">
        <v>40</v>
      </c>
      <c r="D38" t="s">
        <v>100</v>
      </c>
      <c r="F38" t="e">
        <f>IF(C38=FALSE, FALSE, IF(D38="", TRUE, 'LTL ORDER MGMT FORM'!#REF!="Yes"))</f>
        <v>#REF!</v>
      </c>
      <c r="G38" t="e">
        <f t="shared" ca="1" si="4"/>
        <v>#REF!</v>
      </c>
      <c r="H38" t="e">
        <f t="shared" ca="1" si="5"/>
        <v>#REF!</v>
      </c>
    </row>
    <row r="39" spans="1:8" x14ac:dyDescent="0.35">
      <c r="A39" t="s">
        <v>0</v>
      </c>
      <c r="B39" t="s">
        <v>103</v>
      </c>
      <c r="C39" t="s">
        <v>40</v>
      </c>
      <c r="F39" t="b">
        <f t="shared" ref="F39:F70" si="6">IF(C39=FALSE, FALSE, IF(D39="", TRUE, ))</f>
        <v>1</v>
      </c>
      <c r="G39" t="b">
        <f t="shared" ca="1" si="4"/>
        <v>1</v>
      </c>
      <c r="H39" t="str">
        <f t="shared" ca="1" si="5"/>
        <v>Delivery Type</v>
      </c>
    </row>
    <row r="40" spans="1:8" x14ac:dyDescent="0.35">
      <c r="A40" t="s">
        <v>104</v>
      </c>
      <c r="B40" t="s">
        <v>105</v>
      </c>
      <c r="C40" t="s">
        <v>40</v>
      </c>
      <c r="F40" t="b">
        <f t="shared" si="6"/>
        <v>1</v>
      </c>
      <c r="G40" t="b">
        <f t="shared" ca="1" si="4"/>
        <v>1</v>
      </c>
      <c r="H40" t="str">
        <f t="shared" ca="1" si="5"/>
        <v>Delivery Appt Type</v>
      </c>
    </row>
    <row r="41" spans="1:8" x14ac:dyDescent="0.35">
      <c r="A41" t="s">
        <v>2</v>
      </c>
      <c r="B41" t="s">
        <v>106</v>
      </c>
      <c r="C41" t="s">
        <v>40</v>
      </c>
      <c r="F41" t="b">
        <f t="shared" si="6"/>
        <v>1</v>
      </c>
      <c r="G41" t="b">
        <f t="shared" ca="1" si="4"/>
        <v>0</v>
      </c>
      <c r="H41" t="str">
        <f t="shared" ca="1" si="5"/>
        <v/>
      </c>
    </row>
    <row r="42" spans="1:8" x14ac:dyDescent="0.35">
      <c r="A42" t="s">
        <v>107</v>
      </c>
      <c r="B42" t="s">
        <v>108</v>
      </c>
      <c r="C42" t="s">
        <v>40</v>
      </c>
      <c r="F42" t="b">
        <f t="shared" si="6"/>
        <v>1</v>
      </c>
      <c r="G42" t="b">
        <f t="shared" ca="1" si="4"/>
        <v>0</v>
      </c>
      <c r="H42" t="str">
        <f t="shared" ca="1" si="5"/>
        <v/>
      </c>
    </row>
    <row r="43" spans="1:8" x14ac:dyDescent="0.35">
      <c r="A43" t="s">
        <v>3</v>
      </c>
      <c r="B43" t="s">
        <v>109</v>
      </c>
      <c r="C43" t="s">
        <v>40</v>
      </c>
      <c r="F43" t="b">
        <f t="shared" si="6"/>
        <v>1</v>
      </c>
      <c r="G43" t="b">
        <f t="shared" ca="1" si="4"/>
        <v>1</v>
      </c>
      <c r="H43" t="str">
        <f t="shared" ca="1" si="5"/>
        <v>Commodity</v>
      </c>
    </row>
    <row r="44" spans="1:8" x14ac:dyDescent="0.35">
      <c r="A44" t="s">
        <v>4</v>
      </c>
      <c r="B44" t="s">
        <v>110</v>
      </c>
      <c r="C44" t="s">
        <v>40</v>
      </c>
      <c r="F44" t="b">
        <f t="shared" si="6"/>
        <v>1</v>
      </c>
      <c r="G44" t="b">
        <f t="shared" ca="1" si="4"/>
        <v>1</v>
      </c>
      <c r="H44" t="str">
        <f t="shared" ca="1" si="5"/>
        <v>Dangerous goods</v>
      </c>
    </row>
    <row r="45" spans="1:8" x14ac:dyDescent="0.35">
      <c r="A45" t="s">
        <v>5</v>
      </c>
      <c r="B45" t="s">
        <v>111</v>
      </c>
      <c r="C45" t="s">
        <v>40</v>
      </c>
      <c r="F45" t="b">
        <f t="shared" si="6"/>
        <v>1</v>
      </c>
      <c r="G45" t="b">
        <f t="shared" ca="1" si="4"/>
        <v>0</v>
      </c>
      <c r="H45" t="str">
        <f t="shared" ca="1" si="5"/>
        <v/>
      </c>
    </row>
    <row r="46" spans="1:8" x14ac:dyDescent="0.35">
      <c r="A46" t="s">
        <v>6</v>
      </c>
      <c r="B46" t="s">
        <v>112</v>
      </c>
      <c r="C46" t="s">
        <v>40</v>
      </c>
      <c r="F46" t="b">
        <f t="shared" si="6"/>
        <v>1</v>
      </c>
      <c r="G46" t="b">
        <f t="shared" ca="1" si="4"/>
        <v>0</v>
      </c>
      <c r="H46" t="str">
        <f t="shared" ca="1" si="5"/>
        <v/>
      </c>
    </row>
    <row r="47" spans="1:8" x14ac:dyDescent="0.35">
      <c r="A47" t="s">
        <v>7</v>
      </c>
      <c r="B47" t="s">
        <v>113</v>
      </c>
      <c r="C47" t="s">
        <v>40</v>
      </c>
      <c r="F47" t="b">
        <f t="shared" si="6"/>
        <v>1</v>
      </c>
      <c r="G47" t="b">
        <f t="shared" ca="1" si="4"/>
        <v>1</v>
      </c>
      <c r="H47" t="str">
        <f t="shared" ca="1" si="5"/>
        <v>STC</v>
      </c>
    </row>
    <row r="48" spans="1:8" x14ac:dyDescent="0.35">
      <c r="A48" t="s">
        <v>8</v>
      </c>
      <c r="B48" t="s">
        <v>114</v>
      </c>
      <c r="C48" t="s">
        <v>40</v>
      </c>
      <c r="F48" t="b">
        <f t="shared" si="6"/>
        <v>1</v>
      </c>
      <c r="G48" t="b">
        <f t="shared" ca="1" si="4"/>
        <v>1</v>
      </c>
      <c r="H48" t="str">
        <f t="shared" ca="1" si="5"/>
        <v>SKS</v>
      </c>
    </row>
    <row r="49" spans="1:8" x14ac:dyDescent="0.35">
      <c r="A49" t="s">
        <v>9</v>
      </c>
      <c r="B49" t="s">
        <v>115</v>
      </c>
      <c r="C49" t="s">
        <v>40</v>
      </c>
      <c r="F49" t="b">
        <f t="shared" si="6"/>
        <v>1</v>
      </c>
      <c r="G49" t="b">
        <f t="shared" ca="1" si="4"/>
        <v>0</v>
      </c>
      <c r="H49" t="str">
        <f t="shared" ca="1" si="5"/>
        <v/>
      </c>
    </row>
    <row r="50" spans="1:8" x14ac:dyDescent="0.35">
      <c r="A50" t="s">
        <v>116</v>
      </c>
      <c r="B50" t="s">
        <v>117</v>
      </c>
      <c r="C50" t="s">
        <v>40</v>
      </c>
      <c r="F50" t="b">
        <f t="shared" si="6"/>
        <v>1</v>
      </c>
      <c r="G50" t="b">
        <f t="shared" ca="1" si="4"/>
        <v>0</v>
      </c>
      <c r="H50" t="str">
        <f t="shared" ca="1" si="5"/>
        <v/>
      </c>
    </row>
    <row r="51" spans="1:8" x14ac:dyDescent="0.35">
      <c r="A51" t="s">
        <v>118</v>
      </c>
      <c r="B51" t="s">
        <v>119</v>
      </c>
      <c r="C51" t="s">
        <v>40</v>
      </c>
      <c r="F51" t="b">
        <f t="shared" si="6"/>
        <v>1</v>
      </c>
      <c r="G51" t="b">
        <f t="shared" ca="1" si="4"/>
        <v>0</v>
      </c>
      <c r="H51" t="str">
        <f t="shared" ca="1" si="5"/>
        <v/>
      </c>
    </row>
    <row r="52" spans="1:8" x14ac:dyDescent="0.35">
      <c r="A52" t="s">
        <v>120</v>
      </c>
      <c r="B52" t="s">
        <v>121</v>
      </c>
      <c r="C52" t="s">
        <v>40</v>
      </c>
      <c r="F52" t="b">
        <f t="shared" si="6"/>
        <v>1</v>
      </c>
      <c r="G52" t="b">
        <f t="shared" ca="1" si="4"/>
        <v>1</v>
      </c>
      <c r="H52" t="str">
        <f t="shared" ca="1" si="5"/>
        <v>Height (in)</v>
      </c>
    </row>
    <row r="53" spans="1:8" x14ac:dyDescent="0.35">
      <c r="A53" t="s">
        <v>122</v>
      </c>
      <c r="B53" t="s">
        <v>123</v>
      </c>
      <c r="C53" t="s">
        <v>40</v>
      </c>
      <c r="F53" t="b">
        <f t="shared" si="6"/>
        <v>1</v>
      </c>
      <c r="G53" t="b">
        <f t="shared" ca="1" si="4"/>
        <v>0</v>
      </c>
      <c r="H53" t="str">
        <f t="shared" ca="1" si="5"/>
        <v/>
      </c>
    </row>
    <row r="54" spans="1:8" x14ac:dyDescent="0.35">
      <c r="A54" t="s">
        <v>124</v>
      </c>
      <c r="B54" t="s">
        <v>125</v>
      </c>
      <c r="C54" t="s">
        <v>40</v>
      </c>
      <c r="F54" t="b">
        <f t="shared" si="6"/>
        <v>1</v>
      </c>
      <c r="G54" t="b">
        <f t="shared" ca="1" si="4"/>
        <v>1</v>
      </c>
      <c r="H54" t="str">
        <f t="shared" ca="1" si="5"/>
        <v>Pickup PTG</v>
      </c>
    </row>
    <row r="55" spans="1:8" x14ac:dyDescent="0.35">
      <c r="A55" t="s">
        <v>126</v>
      </c>
      <c r="B55" t="s">
        <v>127</v>
      </c>
      <c r="C55" t="s">
        <v>40</v>
      </c>
      <c r="F55" t="b">
        <f t="shared" si="6"/>
        <v>1</v>
      </c>
      <c r="G55" t="b">
        <f t="shared" ca="1" si="4"/>
        <v>0</v>
      </c>
      <c r="H55" t="str">
        <f t="shared" ca="1" si="5"/>
        <v/>
      </c>
    </row>
    <row r="56" spans="1:8" x14ac:dyDescent="0.35">
      <c r="A56" t="s">
        <v>128</v>
      </c>
      <c r="B56" t="s">
        <v>129</v>
      </c>
      <c r="C56" t="s">
        <v>40</v>
      </c>
      <c r="F56" t="b">
        <f t="shared" si="6"/>
        <v>1</v>
      </c>
      <c r="G56" t="b">
        <f t="shared" ca="1" si="4"/>
        <v>1</v>
      </c>
      <c r="H56" t="str">
        <f t="shared" ca="1" si="5"/>
        <v>Pickup Dock</v>
      </c>
    </row>
    <row r="57" spans="1:8" x14ac:dyDescent="0.35">
      <c r="A57" t="s">
        <v>130</v>
      </c>
      <c r="B57" t="s">
        <v>131</v>
      </c>
      <c r="C57" t="s">
        <v>40</v>
      </c>
      <c r="F57" t="b">
        <f t="shared" si="6"/>
        <v>1</v>
      </c>
      <c r="G57" t="b">
        <f t="shared" ca="1" si="4"/>
        <v>0</v>
      </c>
      <c r="H57" t="str">
        <f t="shared" ca="1" si="5"/>
        <v/>
      </c>
    </row>
    <row r="58" spans="1:8" x14ac:dyDescent="0.35">
      <c r="A58" t="s">
        <v>132</v>
      </c>
      <c r="B58" t="s">
        <v>133</v>
      </c>
      <c r="C58" t="s">
        <v>40</v>
      </c>
      <c r="F58" t="b">
        <f t="shared" si="6"/>
        <v>1</v>
      </c>
      <c r="G58" t="b">
        <f t="shared" ca="1" si="4"/>
        <v>1</v>
      </c>
      <c r="H58" t="str">
        <f t="shared" ca="1" si="5"/>
        <v>Delivery Equipment Type</v>
      </c>
    </row>
    <row r="59" spans="1:8" x14ac:dyDescent="0.35">
      <c r="A59" t="s">
        <v>134</v>
      </c>
      <c r="B59" t="s">
        <v>135</v>
      </c>
      <c r="C59" t="s">
        <v>40</v>
      </c>
      <c r="F59" t="b">
        <f t="shared" si="6"/>
        <v>1</v>
      </c>
      <c r="G59" t="b">
        <f t="shared" ca="1" si="4"/>
        <v>1</v>
      </c>
      <c r="H59" t="str">
        <f t="shared" ca="1" si="5"/>
        <v>Delivery PTG</v>
      </c>
    </row>
    <row r="60" spans="1:8" x14ac:dyDescent="0.35">
      <c r="A60" t="s">
        <v>136</v>
      </c>
      <c r="B60" t="s">
        <v>137</v>
      </c>
      <c r="C60" t="s">
        <v>40</v>
      </c>
      <c r="F60" t="b">
        <f t="shared" si="6"/>
        <v>1</v>
      </c>
      <c r="G60" t="b">
        <f t="shared" ca="1" si="4"/>
        <v>1</v>
      </c>
      <c r="H60" t="str">
        <f t="shared" ca="1" si="5"/>
        <v>Delivery Inside</v>
      </c>
    </row>
    <row r="61" spans="1:8" x14ac:dyDescent="0.35">
      <c r="A61" t="s">
        <v>138</v>
      </c>
      <c r="B61" t="s">
        <v>139</v>
      </c>
      <c r="C61" t="s">
        <v>40</v>
      </c>
      <c r="F61" t="b">
        <f t="shared" si="6"/>
        <v>1</v>
      </c>
      <c r="G61" t="b">
        <f t="shared" ca="1" si="4"/>
        <v>1</v>
      </c>
      <c r="H61" t="str">
        <f t="shared" ca="1" si="5"/>
        <v>Delivery Dock</v>
      </c>
    </row>
    <row r="62" spans="1:8" x14ac:dyDescent="0.35">
      <c r="A62" t="s">
        <v>140</v>
      </c>
      <c r="B62" t="s">
        <v>141</v>
      </c>
      <c r="C62" t="s">
        <v>40</v>
      </c>
      <c r="F62" t="b">
        <f t="shared" si="6"/>
        <v>1</v>
      </c>
      <c r="G62" t="b">
        <f t="shared" ca="1" si="4"/>
        <v>1</v>
      </c>
      <c r="H62" t="str">
        <f t="shared" ca="1" si="5"/>
        <v>Delivery Pallet jack</v>
      </c>
    </row>
    <row r="63" spans="1:8" x14ac:dyDescent="0.35">
      <c r="A63" t="s">
        <v>10</v>
      </c>
      <c r="B63" t="s">
        <v>142</v>
      </c>
      <c r="C63" t="s">
        <v>40</v>
      </c>
      <c r="F63" t="b">
        <f t="shared" si="6"/>
        <v>1</v>
      </c>
      <c r="G63" t="b">
        <f t="shared" ca="1" si="4"/>
        <v>0</v>
      </c>
      <c r="H63" t="str">
        <f t="shared" ca="1" si="5"/>
        <v/>
      </c>
    </row>
    <row r="64" spans="1:8" x14ac:dyDescent="0.35">
      <c r="A64" t="s">
        <v>11</v>
      </c>
      <c r="B64" t="s">
        <v>143</v>
      </c>
      <c r="C64" t="s">
        <v>40</v>
      </c>
      <c r="F64" t="b">
        <f t="shared" si="6"/>
        <v>1</v>
      </c>
      <c r="G64" t="b">
        <f t="shared" ca="1" si="4"/>
        <v>0</v>
      </c>
      <c r="H64" t="str">
        <f t="shared" ca="1" si="5"/>
        <v/>
      </c>
    </row>
    <row r="65" spans="1:8" x14ac:dyDescent="0.35">
      <c r="A65" t="s">
        <v>12</v>
      </c>
      <c r="B65" t="s">
        <v>144</v>
      </c>
      <c r="C65" t="s">
        <v>40</v>
      </c>
      <c r="F65" t="b">
        <f t="shared" si="6"/>
        <v>1</v>
      </c>
      <c r="G65" t="b">
        <f t="shared" ca="1" si="4"/>
        <v>0</v>
      </c>
      <c r="H65" t="str">
        <f t="shared" ca="1" si="5"/>
        <v/>
      </c>
    </row>
    <row r="66" spans="1:8" x14ac:dyDescent="0.35">
      <c r="A66" t="s">
        <v>13</v>
      </c>
      <c r="B66" t="s">
        <v>145</v>
      </c>
      <c r="C66" t="s">
        <v>40</v>
      </c>
      <c r="F66" t="b">
        <f t="shared" si="6"/>
        <v>1</v>
      </c>
      <c r="G66" t="b">
        <f t="shared" ref="G66:G70" ca="1" si="7">AND(F66=TRUE, LEN(INDIRECT(B66))=0)</f>
        <v>1</v>
      </c>
      <c r="H66" t="str">
        <f t="shared" ref="H66:H70" ca="1" si="8">IF(G66, A66, "")</f>
        <v>Purchase Order (PO)</v>
      </c>
    </row>
    <row r="67" spans="1:8" x14ac:dyDescent="0.35">
      <c r="A67" t="s">
        <v>15</v>
      </c>
      <c r="B67" t="s">
        <v>146</v>
      </c>
      <c r="C67" t="s">
        <v>40</v>
      </c>
      <c r="F67" t="b">
        <f t="shared" si="6"/>
        <v>1</v>
      </c>
      <c r="G67" t="b">
        <f t="shared" ca="1" si="7"/>
        <v>0</v>
      </c>
      <c r="H67" t="str">
        <f t="shared" ca="1" si="8"/>
        <v/>
      </c>
    </row>
    <row r="68" spans="1:8" x14ac:dyDescent="0.35">
      <c r="A68" t="s">
        <v>14</v>
      </c>
      <c r="B68" t="s">
        <v>147</v>
      </c>
      <c r="C68" t="s">
        <v>40</v>
      </c>
      <c r="F68" t="b">
        <f t="shared" si="6"/>
        <v>1</v>
      </c>
      <c r="G68" t="b">
        <f t="shared" ca="1" si="7"/>
        <v>1</v>
      </c>
      <c r="H68" t="str">
        <f t="shared" ca="1" si="8"/>
        <v>Service Level</v>
      </c>
    </row>
    <row r="69" spans="1:8" x14ac:dyDescent="0.35">
      <c r="A69" t="s">
        <v>16</v>
      </c>
      <c r="B69" t="s">
        <v>148</v>
      </c>
      <c r="C69" t="s">
        <v>40</v>
      </c>
      <c r="F69" t="b">
        <f t="shared" si="6"/>
        <v>1</v>
      </c>
      <c r="G69" t="b">
        <f t="shared" ca="1" si="7"/>
        <v>0</v>
      </c>
      <c r="H69" t="str">
        <f t="shared" ca="1" si="8"/>
        <v/>
      </c>
    </row>
    <row r="70" spans="1:8" x14ac:dyDescent="0.35">
      <c r="A70" t="s">
        <v>17</v>
      </c>
      <c r="B70" t="s">
        <v>149</v>
      </c>
      <c r="C70" t="s">
        <v>40</v>
      </c>
      <c r="F70" t="b">
        <f t="shared" si="6"/>
        <v>1</v>
      </c>
      <c r="G70" t="b">
        <f t="shared" ca="1" si="7"/>
        <v>1</v>
      </c>
      <c r="H70" t="str">
        <f t="shared" ca="1" si="8"/>
        <v>Shipping Instructions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70" width="18" customWidth="1"/>
  </cols>
  <sheetData>
    <row r="1" spans="1:70" x14ac:dyDescent="0.35">
      <c r="A1" s="2" t="s">
        <v>150</v>
      </c>
      <c r="B1" s="2" t="s">
        <v>26</v>
      </c>
      <c r="C1" s="2" t="s">
        <v>18</v>
      </c>
      <c r="D1" s="2" t="s">
        <v>151</v>
      </c>
      <c r="E1" s="2" t="s">
        <v>152</v>
      </c>
      <c r="F1" s="2" t="s">
        <v>153</v>
      </c>
      <c r="G1" s="2" t="s">
        <v>154</v>
      </c>
      <c r="H1" s="2" t="s">
        <v>155</v>
      </c>
      <c r="I1" s="2" t="s">
        <v>156</v>
      </c>
      <c r="J1" s="2" t="s">
        <v>157</v>
      </c>
      <c r="K1" s="2" t="s">
        <v>158</v>
      </c>
      <c r="L1" s="2" t="s">
        <v>159</v>
      </c>
      <c r="M1" s="2" t="s">
        <v>160</v>
      </c>
      <c r="N1" s="2" t="s">
        <v>161</v>
      </c>
      <c r="O1" s="2" t="s">
        <v>162</v>
      </c>
      <c r="P1" s="2" t="s">
        <v>163</v>
      </c>
      <c r="Q1" s="2" t="s">
        <v>164</v>
      </c>
      <c r="R1" s="2" t="s">
        <v>165</v>
      </c>
      <c r="S1" s="2" t="s">
        <v>166</v>
      </c>
      <c r="T1" s="2" t="s">
        <v>167</v>
      </c>
      <c r="U1" s="2" t="s">
        <v>168</v>
      </c>
      <c r="V1" s="2" t="s">
        <v>169</v>
      </c>
      <c r="W1" s="2" t="s">
        <v>170</v>
      </c>
      <c r="X1" s="2" t="s">
        <v>171</v>
      </c>
      <c r="Y1" s="2" t="s">
        <v>172</v>
      </c>
      <c r="Z1" s="2" t="s">
        <v>173</v>
      </c>
      <c r="AA1" s="2" t="s">
        <v>174</v>
      </c>
      <c r="AB1" s="2" t="s">
        <v>175</v>
      </c>
      <c r="AC1" s="2" t="s">
        <v>176</v>
      </c>
      <c r="AD1" s="2" t="s">
        <v>177</v>
      </c>
      <c r="AE1" s="2" t="s">
        <v>178</v>
      </c>
      <c r="AF1" s="2" t="s">
        <v>179</v>
      </c>
      <c r="AG1" s="2" t="s">
        <v>180</v>
      </c>
      <c r="AH1" s="2" t="s">
        <v>181</v>
      </c>
      <c r="AI1" s="2" t="s">
        <v>182</v>
      </c>
      <c r="AJ1" s="2" t="s">
        <v>183</v>
      </c>
      <c r="AK1" s="2" t="s">
        <v>184</v>
      </c>
      <c r="AL1" s="2" t="s">
        <v>185</v>
      </c>
      <c r="AM1" s="2" t="s">
        <v>186</v>
      </c>
      <c r="AN1" s="2" t="s">
        <v>187</v>
      </c>
      <c r="AO1" s="2" t="s">
        <v>2</v>
      </c>
      <c r="AP1" s="2" t="s">
        <v>188</v>
      </c>
      <c r="AQ1" s="2" t="s">
        <v>3</v>
      </c>
      <c r="AR1" s="2" t="s">
        <v>189</v>
      </c>
      <c r="AS1" s="2" t="s">
        <v>190</v>
      </c>
      <c r="AT1" s="2" t="s">
        <v>6</v>
      </c>
      <c r="AU1" s="2" t="s">
        <v>7</v>
      </c>
      <c r="AV1" s="2" t="s">
        <v>8</v>
      </c>
      <c r="AW1" s="2" t="s">
        <v>191</v>
      </c>
      <c r="AX1" s="2" t="s">
        <v>192</v>
      </c>
      <c r="AY1" s="2" t="s">
        <v>193</v>
      </c>
      <c r="AZ1" s="2" t="s">
        <v>194</v>
      </c>
      <c r="BA1" s="2" t="s">
        <v>195</v>
      </c>
      <c r="BB1" s="2" t="s">
        <v>196</v>
      </c>
      <c r="BC1" s="2" t="s">
        <v>197</v>
      </c>
      <c r="BD1" s="2" t="s">
        <v>198</v>
      </c>
      <c r="BE1" s="2" t="s">
        <v>199</v>
      </c>
      <c r="BF1" s="2" t="s">
        <v>200</v>
      </c>
      <c r="BG1" s="2" t="s">
        <v>201</v>
      </c>
      <c r="BH1" s="2" t="s">
        <v>202</v>
      </c>
      <c r="BI1" s="2" t="s">
        <v>203</v>
      </c>
      <c r="BJ1" s="2" t="s">
        <v>204</v>
      </c>
      <c r="BK1" s="2" t="s">
        <v>205</v>
      </c>
      <c r="BL1" s="2" t="s">
        <v>206</v>
      </c>
      <c r="BM1" s="2" t="s">
        <v>207</v>
      </c>
      <c r="BN1" s="2" t="s">
        <v>208</v>
      </c>
      <c r="BO1" s="2" t="s">
        <v>209</v>
      </c>
      <c r="BP1" s="2" t="s">
        <v>210</v>
      </c>
      <c r="BQ1" s="2" t="s">
        <v>211</v>
      </c>
      <c r="BR1" s="2" t="s">
        <v>212</v>
      </c>
    </row>
  </sheetData>
  <pageMargins left="0.75" right="0.75" top="1" bottom="1" header="0.5" footer="0.5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081825fef4f452e8d6ce9efec2e8cd7 xmlns="2bd1348a-5e8f-4b0b-9f2c-0c7abb42e193">
      <Terms xmlns="http://schemas.microsoft.com/office/infopath/2007/PartnerControls">
        <TermInfo xmlns="http://schemas.microsoft.com/office/infopath/2007/PartnerControls">
          <TermName xmlns="http://schemas.microsoft.com/office/infopath/2007/PartnerControls">Delta</TermName>
          <TermId xmlns="http://schemas.microsoft.com/office/infopath/2007/PartnerControls">3a5247f1-2ff2-45ae-bd7c-d84440e087a3</TermId>
        </TermInfo>
      </Terms>
    </j081825fef4f452e8d6ce9efec2e8cd7>
    <_Flow_SignoffStatus xmlns="687503b2-8946-48be-b1f5-d6d03bfaa3a5" xsi:nil="true"/>
    <TaxCatchAll xmlns="2bd1348a-5e8f-4b0b-9f2c-0c7abb42e193">
      <Value>2</Value>
      <Value>3</Value>
    </TaxCatchAll>
    <h3394d8eca5a43e99b70a95330fdb4c8 xmlns="2bd1348a-5e8f-4b0b-9f2c-0c7abb42e193">
      <Terms xmlns="http://schemas.microsoft.com/office/infopath/2007/PartnerControls">
        <TermInfo xmlns="http://schemas.microsoft.com/office/infopath/2007/PartnerControls">
          <TermName xmlns="http://schemas.microsoft.com/office/infopath/2007/PartnerControls">Apps Cargo</TermName>
          <TermId xmlns="http://schemas.microsoft.com/office/infopath/2007/PartnerControls">b897f688-d290-4499-a6a0-50b7736eb983</TermId>
        </TermInfo>
      </Terms>
    </h3394d8eca5a43e99b70a95330fdb4c8>
    <TaiwoNotes xmlns="687503b2-8946-48be-b1f5-d6d03bfaa3a5">true</TaiwoNotes>
    <ndb771b4d0aa4d59ad1872fe0025e572 xmlns="2bd1348a-5e8f-4b0b-9f2c-0c7abb42e193">
      <Terms xmlns="http://schemas.microsoft.com/office/infopath/2007/PartnerControls"/>
    </ndb771b4d0aa4d59ad1872fe0025e572>
    <lcf76f155ced4ddcb4097134ff3c332f xmlns="687503b2-8946-48be-b1f5-d6d03bfaa3a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CD674419133E45897BA5A141F7B7E3" ma:contentTypeVersion="26" ma:contentTypeDescription="Create a new document." ma:contentTypeScope="" ma:versionID="b25bad11281a16c33ff397a67d9993a2">
  <xsd:schema xmlns:xsd="http://www.w3.org/2001/XMLSchema" xmlns:xs="http://www.w3.org/2001/XMLSchema" xmlns:p="http://schemas.microsoft.com/office/2006/metadata/properties" xmlns:ns2="2bd1348a-5e8f-4b0b-9f2c-0c7abb42e193" xmlns:ns3="687503b2-8946-48be-b1f5-d6d03bfaa3a5" xmlns:ns4="26b31003-51af-4341-a612-0d9d40348fe6" targetNamespace="http://schemas.microsoft.com/office/2006/metadata/properties" ma:root="true" ma:fieldsID="2d5b564f6dcfcd55b5470af9f69fb451" ns2:_="" ns3:_="" ns4:_="">
    <xsd:import namespace="2bd1348a-5e8f-4b0b-9f2c-0c7abb42e193"/>
    <xsd:import namespace="687503b2-8946-48be-b1f5-d6d03bfaa3a5"/>
    <xsd:import namespace="26b31003-51af-4341-a612-0d9d40348fe6"/>
    <xsd:element name="properties">
      <xsd:complexType>
        <xsd:sequence>
          <xsd:element name="documentManagement">
            <xsd:complexType>
              <xsd:all>
                <xsd:element ref="ns2:h3394d8eca5a43e99b70a95330fdb4c8" minOccurs="0"/>
                <xsd:element ref="ns2:TaxCatchAll" minOccurs="0"/>
                <xsd:element ref="ns2:ndb771b4d0aa4d59ad1872fe0025e572" minOccurs="0"/>
                <xsd:element ref="ns2:j081825fef4f452e8d6ce9efec2e8cd7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4:SharedWithUsers" minOccurs="0"/>
                <xsd:element ref="ns4:SharedWithDetails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TaiwoNotes" minOccurs="0"/>
                <xsd:element ref="ns3:_Flow_SignoffStatus" minOccurs="0"/>
                <xsd:element ref="ns3:lcf76f155ced4ddcb4097134ff3c332f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d1348a-5e8f-4b0b-9f2c-0c7abb42e193" elementFormDefault="qualified">
    <xsd:import namespace="http://schemas.microsoft.com/office/2006/documentManagement/types"/>
    <xsd:import namespace="http://schemas.microsoft.com/office/infopath/2007/PartnerControls"/>
    <xsd:element name="h3394d8eca5a43e99b70a95330fdb4c8" ma:index="9" nillable="true" ma:taxonomy="true" ma:internalName="h3394d8eca5a43e99b70a95330fdb4c8" ma:taxonomyFieldName="AppsBusiness" ma:displayName="Business" ma:fieldId="{13394d8e-ca5a-43e9-9b70-a95330fdb4c8}" ma:sspId="1f6effb6-19a6-4c36-b269-c5e972628372" ma:termSetId="3f26063b-d095-42bc-a2b1-3069b6a65ac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0" nillable="true" ma:displayName="Taxonomy Catch All Column" ma:hidden="true" ma:list="{ec9a507a-3bae-4d58-abc1-8e36e60301fe}" ma:internalName="TaxCatchAll" ma:showField="CatchAllData" ma:web="2bd1348a-5e8f-4b0b-9f2c-0c7abb42e19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ndb771b4d0aa4d59ad1872fe0025e572" ma:index="12" nillable="true" ma:taxonomy="true" ma:internalName="ndb771b4d0aa4d59ad1872fe0025e572" ma:taxonomyFieldName="AppsDepartment" ma:displayName="Departments" ma:fieldId="{7db771b4-d0aa-4d59-ad18-72fe0025e572}" ma:sspId="1f6effb6-19a6-4c36-b269-c5e972628372" ma:termSetId="09e93932-960f-46c6-8eb3-e3235a0f126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081825fef4f452e8d6ce9efec2e8cd7" ma:index="14" nillable="true" ma:taxonomy="true" ma:internalName="j081825fef4f452e8d6ce9efec2e8cd7" ma:taxonomyFieldName="AppsTerminal" ma:displayName="Terminal" ma:fieldId="{3081825f-ef4f-452e-8d6c-e9efec2e8cd7}" ma:sspId="1f6effb6-19a6-4c36-b269-c5e972628372" ma:termSetId="d3368b41-16e5-483a-b7cd-f8826c7fee86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7503b2-8946-48be-b1f5-d6d03bfaa3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8" nillable="true" ma:displayName="MediaServiceAutoTags" ma:internalName="MediaServiceAutoTags" ma:readOnly="true">
      <xsd:simpleType>
        <xsd:restriction base="dms:Text"/>
      </xsd:simpleType>
    </xsd:element>
    <xsd:element name="MediaServiceOCR" ma:index="19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7" nillable="true" ma:displayName="Length (seconds)" ma:internalName="MediaLengthInSeconds" ma:readOnly="true">
      <xsd:simpleType>
        <xsd:restriction base="dms:Unknown"/>
      </xsd:simpleType>
    </xsd:element>
    <xsd:element name="TaiwoNotes" ma:index="28" nillable="true" ma:displayName="Taiwo Notes" ma:default="1" ma:format="Dropdown" ma:internalName="TaiwoNotes">
      <xsd:simpleType>
        <xsd:restriction base="dms:Boolean"/>
      </xsd:simpleType>
    </xsd:element>
    <xsd:element name="_Flow_SignoffStatus" ma:index="29" nillable="true" ma:displayName="Sign-off status" ma:internalName="Sign_x002d_off_x0020_status">
      <xsd:simpleType>
        <xsd:restriction base="dms:Text"/>
      </xsd:simpleType>
    </xsd:element>
    <xsd:element name="lcf76f155ced4ddcb4097134ff3c332f" ma:index="31" nillable="true" ma:taxonomy="true" ma:internalName="lcf76f155ced4ddcb4097134ff3c332f" ma:taxonomyFieldName="MediaServiceImageTags" ma:displayName="Image Tags" ma:readOnly="false" ma:fieldId="{5cf76f15-5ced-4ddc-b409-7134ff3c332f}" ma:taxonomyMulti="true" ma:sspId="1f6effb6-19a6-4c36-b269-c5e97262837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b31003-51af-4341-a612-0d9d40348fe6" elementFormDefault="qualified">
    <xsd:import namespace="http://schemas.microsoft.com/office/2006/documentManagement/types"/>
    <xsd:import namespace="http://schemas.microsoft.com/office/infopath/2007/PartnerControls"/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7F66287-E851-41BC-B02A-AF3DC6F9DB74}">
  <ds:schemaRefs>
    <ds:schemaRef ds:uri="http://purl.org/dc/terms/"/>
    <ds:schemaRef ds:uri="http://schemas.microsoft.com/office/2006/documentManagement/types"/>
    <ds:schemaRef ds:uri="2bd1348a-5e8f-4b0b-9f2c-0c7abb42e193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purl.org/dc/elements/1.1/"/>
    <ds:schemaRef ds:uri="26b31003-51af-4341-a612-0d9d40348fe6"/>
    <ds:schemaRef ds:uri="687503b2-8946-48be-b1f5-d6d03bfaa3a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6BAD9BB-A755-464A-A18D-E02C0420803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C6C9B9-6341-4609-A220-E1ADCDA53E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d1348a-5e8f-4b0b-9f2c-0c7abb42e193"/>
    <ds:schemaRef ds:uri="687503b2-8946-48be-b1f5-d6d03bfaa3a5"/>
    <ds:schemaRef ds:uri="26b31003-51af-4341-a612-0d9d40348f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LTL ORDER MGMT FORM</vt:lpstr>
      <vt:lpstr>SUBMITTED ORDERS</vt:lpstr>
      <vt:lpstr>PARKED ORDERS</vt:lpstr>
      <vt:lpstr>MISC.</vt:lpstr>
      <vt:lpstr>Lists</vt:lpstr>
      <vt:lpstr>Config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Akhil Kamboj</dc:creator>
  <cp:lastModifiedBy>Suresh Baliarsingh</cp:lastModifiedBy>
  <dcterms:created xsi:type="dcterms:W3CDTF">2025-12-16T16:33:07Z</dcterms:created>
  <dcterms:modified xsi:type="dcterms:W3CDTF">2026-03-13T09:30:08Z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0x01010070CD674419133E45897BA5A141F7B7E3</vt:lpwstr>
  </property>
  <property fmtid="{D5CDD505-2E9C-101B-9397-08002B2CF9AE}" pid="3" name="MediaServiceImageTags">
    <vt:lpwstr/>
  </property>
  <property fmtid="{D5CDD505-2E9C-101B-9397-08002B2CF9AE}" pid="4" name="AppsBusiness">
    <vt:lpwstr>2;#Apps Cargo|b897f688-d290-4499-a6a0-50b7736eb983</vt:lpwstr>
  </property>
  <property fmtid="{D5CDD505-2E9C-101B-9397-08002B2CF9AE}" pid="5" name="AppsDepartment">
    <vt:lpwstr/>
  </property>
  <property fmtid="{D5CDD505-2E9C-101B-9397-08002B2CF9AE}" pid="6" name="AppsTerminal">
    <vt:lpwstr>3;#Delta|3a5247f1-2ff2-45ae-bd7c-d84440e087a3</vt:lpwstr>
  </property>
</Properties>
</file>